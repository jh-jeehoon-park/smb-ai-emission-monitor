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표지" sheetId="1" state="visible" r:id="rId1"/>
    <sheet xmlns:r="http://schemas.openxmlformats.org/officeDocument/2006/relationships" name="변경이력" sheetId="2" state="visible" r:id="rId2"/>
    <sheet xmlns:r="http://schemas.openxmlformats.org/officeDocument/2006/relationships" name="데이터 정의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3">
    <font>
      <name val="Arial"/>
      <color rgb="FF000000"/>
      <sz val="10"/>
      <scheme val="minor"/>
    </font>
    <font>
      <name val="페이퍼로지 5 Medium"/>
      <color theme="1"/>
      <sz val="11"/>
    </font>
    <font>
      <name val="페이퍼로지 4 Regular"/>
      <color theme="1"/>
      <sz val="11"/>
    </font>
    <font>
      <name val="페이퍼로지 4 Regular"/>
      <color theme="1"/>
      <sz val="10"/>
    </font>
    <font>
      <name val="Roboto"/>
      <b val="1"/>
      <color rgb="FF000000"/>
    </font>
    <font>
      <name val="Arial"/>
      <color rgb="FF151D1D"/>
    </font>
    <font>
      <name val="Arial"/>
      <color theme="1"/>
    </font>
    <font>
      <name val="페이퍼로지 5 Medium"/>
      <color theme="1"/>
      <sz val="14"/>
    </font>
    <font/>
    <font>
      <name val="페이퍼로지 4 Regular"/>
      <color theme="1"/>
      <sz val="9"/>
    </font>
    <font>
      <name val="페이퍼로지 5 Medium"/>
      <b val="1"/>
      <color theme="1"/>
      <sz val="10"/>
    </font>
    <font>
      <name val="페이퍼로지 5 Medium"/>
      <color theme="1"/>
      <sz val="16"/>
      <u val="single"/>
    </font>
    <font>
      <name val="페이퍼로지 5 Medium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AF9"/>
        <bgColor rgb="FFF3FAF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3" fillId="4" borderId="2" applyAlignment="1" pivotButton="0" quotePrefix="0" xfId="0">
      <alignment horizontal="center" vertical="bottom"/>
    </xf>
    <xf numFmtId="0" fontId="6" fillId="0" borderId="0" pivotButton="0" quotePrefix="0" xfId="0"/>
    <xf numFmtId="0" fontId="7" fillId="4" borderId="3" applyAlignment="1" pivotButton="0" quotePrefix="0" xfId="0">
      <alignment horizontal="center" vertical="center"/>
    </xf>
    <xf numFmtId="0" fontId="8" fillId="0" borderId="4" pivotButton="0" quotePrefix="0" xfId="0"/>
    <xf numFmtId="0" fontId="5" fillId="0" borderId="1" applyAlignment="1" pivotButton="0" quotePrefix="0" xfId="0">
      <alignment vertical="center"/>
    </xf>
    <xf numFmtId="0" fontId="8" fillId="0" borderId="5" pivotButton="0" quotePrefix="0" xfId="0"/>
    <xf numFmtId="0" fontId="8" fillId="0" borderId="6" pivotButton="0" quotePrefix="0" xfId="0"/>
    <xf numFmtId="0" fontId="9" fillId="4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8" fillId="0" borderId="8" pivotButton="0" quotePrefix="0" xfId="0"/>
    <xf numFmtId="0" fontId="9" fillId="4" borderId="3" applyAlignment="1" pivotButton="0" quotePrefix="0" xfId="0">
      <alignment horizontal="center" vertical="center"/>
    </xf>
    <xf numFmtId="0" fontId="8" fillId="0" borderId="9" pivotButton="0" quotePrefix="0" xfId="0"/>
    <xf numFmtId="0" fontId="8" fillId="0" borderId="10" pivotButton="0" quotePrefix="0" xfId="0"/>
    <xf numFmtId="164" fontId="9" fillId="4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3" fillId="5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164" fontId="3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165" fontId="3" fillId="0" borderId="0" applyAlignment="1" pivotButton="0" quotePrefix="0" xfId="0">
      <alignment vertical="bottom"/>
    </xf>
    <xf numFmtId="0" fontId="12" fillId="0" borderId="3" applyAlignment="1" pivotButton="0" quotePrefix="0" xfId="0">
      <alignment horizontal="left" vertical="center"/>
    </xf>
    <xf numFmtId="0" fontId="0" fillId="0" borderId="0" pivotButton="0" quotePrefix="0" xfId="0"/>
    <xf numFmtId="0" fontId="10" fillId="0" borderId="1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12" fillId="0" borderId="7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7" applyAlignment="1" pivotButton="0" quotePrefix="0" xfId="0">
      <alignment horizontal="center" vertical="bottom"/>
    </xf>
    <xf numFmtId="0" fontId="7" fillId="4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164" fontId="9" fillId="4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 defaultTableStyle="TableStyleMedium9" defaultPivotStyle="PivotStyleLight16">
    <tableStyle name="데이터 정의서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2:H12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데이터 정의서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9" customWidth="1" style="35" min="1" max="1"/>
    <col width="9.630000000000001" customWidth="1" style="35" min="2" max="2"/>
    <col width="9.25" customWidth="1" style="35" min="3" max="3"/>
    <col width="13.88" customWidth="1" style="35" min="4" max="4"/>
    <col width="9.130000000000001" customWidth="1" style="35" min="5" max="5"/>
    <col width="13" customWidth="1" style="35" min="6" max="6"/>
    <col width="6.88" customWidth="1" style="35" min="7" max="7"/>
    <col width="7.63" customWidth="1" style="35" min="8" max="8"/>
    <col width="9.130000000000001" customWidth="1" style="35" min="9" max="11"/>
    <col width="9.880000000000001" customWidth="1" style="35" min="12" max="12"/>
    <col width="9" customWidth="1" style="35" min="13" max="25"/>
  </cols>
  <sheetData>
    <row r="1" ht="13.5" customHeight="1" s="3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5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5">
      <c r="A6" s="1" t="n"/>
      <c r="B6" s="36" t="inlineStr">
        <is>
          <t>오염물질 배출관리
데이터 정의서</t>
        </is>
      </c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5">
      <c r="A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5">
      <c r="A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5">
      <c r="A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5">
      <c r="A10" s="1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5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0" customHeight="1" s="35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5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7.25" customHeight="1" s="35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5">
      <c r="A15" s="1" t="n"/>
      <c r="B15" s="1" t="n"/>
      <c r="C15" s="1" t="n"/>
      <c r="D15" s="26" t="inlineStr">
        <is>
          <t>시스템명</t>
        </is>
      </c>
      <c r="E15" s="39" t="inlineStr">
        <is>
          <t>오염물질 배출관리</t>
        </is>
      </c>
      <c r="F15" s="40" t="n"/>
      <c r="G15" s="40" t="n"/>
      <c r="H15" s="40" t="n"/>
      <c r="I15" s="41" t="n"/>
      <c r="J15" s="29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5">
      <c r="A16" s="1" t="n"/>
      <c r="B16" s="1" t="n"/>
      <c r="C16" s="1" t="n"/>
      <c r="D16" s="26" t="inlineStr">
        <is>
          <t>단계</t>
        </is>
      </c>
      <c r="E16" s="39" t="inlineStr">
        <is>
          <t>수행</t>
        </is>
      </c>
      <c r="F16" s="40" t="n"/>
      <c r="G16" s="40" t="n"/>
      <c r="H16" s="40" t="n"/>
      <c r="I16" s="41" t="n"/>
      <c r="J16" s="29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5">
      <c r="A17" s="1" t="n"/>
      <c r="B17" s="1" t="n"/>
      <c r="C17" s="1" t="n"/>
      <c r="D17" s="26" t="inlineStr">
        <is>
          <t>산출물명</t>
        </is>
      </c>
      <c r="E17" s="39" t="inlineStr">
        <is>
          <t>오염물질 배출관리 데이터 정의서</t>
        </is>
      </c>
      <c r="F17" s="40" t="n"/>
      <c r="G17" s="40" t="n"/>
      <c r="H17" s="40" t="n"/>
      <c r="I17" s="41" t="n"/>
      <c r="J17" s="29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5">
      <c r="A18" s="1" t="n"/>
      <c r="B18" s="1" t="n"/>
      <c r="C18" s="1" t="n"/>
      <c r="D18" s="26" t="inlineStr">
        <is>
          <t>문서번호</t>
        </is>
      </c>
      <c r="E18" s="39" t="inlineStr">
        <is>
          <t>AquaSense-001</t>
        </is>
      </c>
      <c r="F18" s="40" t="n"/>
      <c r="G18" s="40" t="n"/>
      <c r="H18" s="40" t="n"/>
      <c r="I18" s="41" t="n"/>
      <c r="J18" s="29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5">
      <c r="A19" s="1" t="n"/>
      <c r="B19" s="1" t="n"/>
      <c r="C19" s="1" t="n"/>
      <c r="D19" s="26" t="inlineStr">
        <is>
          <t>버전</t>
        </is>
      </c>
      <c r="E19" s="39" t="inlineStr">
        <is>
          <t>Ver 0.1</t>
        </is>
      </c>
      <c r="F19" s="40" t="n"/>
      <c r="G19" s="40" t="n"/>
      <c r="H19" s="40" t="n"/>
      <c r="I19" s="41" t="n"/>
      <c r="J19" s="29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5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5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5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6">
    <mergeCell ref="B6:K10"/>
    <mergeCell ref="E15:I15"/>
    <mergeCell ref="E16:I16"/>
    <mergeCell ref="E19:I19"/>
    <mergeCell ref="E17:I17"/>
    <mergeCell ref="E18:I18"/>
  </mergeCells>
  <printOptions horizontalCentered="1"/>
  <pageMargins left="0.3937007874015748" right="0.3937007874015748" top="0.7086614173228347" bottom="0.5511811023622047" header="0" footer="0"/>
  <pageSetup orientation="landscape" paperSize="9" scale="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8" customWidth="1" style="35" min="1" max="1"/>
    <col width="16.25" customWidth="1" style="35" min="2" max="2"/>
    <col width="9.5" customWidth="1" style="35" min="3" max="3"/>
    <col width="9.130000000000001" customWidth="1" style="35" min="4" max="6"/>
    <col width="10.13" customWidth="1" style="35" min="7" max="7"/>
    <col width="9.130000000000001" customWidth="1" style="35" min="8" max="8"/>
    <col width="9.380000000000001" customWidth="1" style="35" min="9" max="9"/>
    <col width="9.880000000000001" customWidth="1" style="35" min="10" max="10"/>
    <col width="9.130000000000001" customWidth="1" style="35" min="11" max="11"/>
    <col width="8" customWidth="1" style="35" min="12" max="12"/>
    <col width="10" customWidth="1" style="35" min="13" max="13"/>
    <col width="8" customWidth="1" style="35" min="14" max="14"/>
    <col width="8.630000000000001" customWidth="1" style="35" min="15" max="26"/>
  </cols>
  <sheetData>
    <row r="1" ht="13.5" customHeight="1" s="35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5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0.25" customHeight="1" s="35">
      <c r="A3" s="2" t="n"/>
      <c r="B3" s="42" t="n"/>
      <c r="C3" s="43" t="inlineStr">
        <is>
          <t>데이터 정의서</t>
        </is>
      </c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1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35">
      <c r="A4" s="2" t="n"/>
      <c r="B4" s="44" t="n"/>
      <c r="C4" s="14" t="inlineStr">
        <is>
          <t>프로젝트</t>
        </is>
      </c>
      <c r="D4" s="17">
        <f>'표지'!$E$15</f>
        <v/>
      </c>
      <c r="E4" s="40" t="n"/>
      <c r="F4" s="40" t="n"/>
      <c r="G4" s="40" t="n"/>
      <c r="H4" s="14" t="n"/>
      <c r="I4" s="41" t="n"/>
      <c r="J4" s="14" t="n"/>
      <c r="K4" s="41" t="n"/>
      <c r="L4" s="14">
        <f>'표지'!E16</f>
        <v/>
      </c>
      <c r="M4" s="41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3.25" customHeight="1" s="35">
      <c r="A5" s="2" t="n"/>
      <c r="B5" s="45" t="n"/>
      <c r="C5" s="14" t="inlineStr">
        <is>
          <t>문서번호</t>
        </is>
      </c>
      <c r="D5" s="14">
        <f>'표지'!$E$18</f>
        <v/>
      </c>
      <c r="E5" s="40" t="n"/>
      <c r="F5" s="41" t="n"/>
      <c r="G5" s="14" t="inlineStr">
        <is>
          <t>작성일자</t>
        </is>
      </c>
      <c r="H5" s="46" t="inlineStr">
        <is>
          <t>2026-08-24</t>
        </is>
      </c>
      <c r="I5" s="40" t="n"/>
      <c r="J5" s="41" t="n"/>
      <c r="K5" s="14" t="inlineStr">
        <is>
          <t>버전</t>
        </is>
      </c>
      <c r="L5" s="14">
        <f>'표지'!E19</f>
        <v/>
      </c>
      <c r="M5" s="41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3.25" customHeight="1" s="35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2" t="n"/>
      <c r="L6" s="2" t="n"/>
      <c r="M6" s="2" t="n"/>
      <c r="N6" s="2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23.25" customHeight="1" s="35">
      <c r="A7" s="2" t="n"/>
      <c r="B7" s="22" t="inlineStr">
        <is>
          <t>제 ‧ 개 정 이 력</t>
        </is>
      </c>
      <c r="N7" s="2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4.25" customHeight="1" s="35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2" t="n"/>
      <c r="L8" s="2" t="n"/>
      <c r="M8" s="2" t="n"/>
      <c r="N8" s="2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23.25" customHeight="1" s="35">
      <c r="A9" s="2" t="n"/>
      <c r="B9" s="25" t="inlineStr">
        <is>
          <t>날짜</t>
        </is>
      </c>
      <c r="C9" s="25" t="inlineStr">
        <is>
          <t>버전</t>
        </is>
      </c>
      <c r="D9" s="25" t="inlineStr">
        <is>
          <t>작성자</t>
        </is>
      </c>
      <c r="E9" s="25" t="inlineStr">
        <is>
          <t>승인자</t>
        </is>
      </c>
      <c r="F9" s="25" t="inlineStr">
        <is>
          <t>내용</t>
        </is>
      </c>
      <c r="G9" s="40" t="n"/>
      <c r="H9" s="40" t="n"/>
      <c r="I9" s="40" t="n"/>
      <c r="J9" s="40" t="n"/>
      <c r="K9" s="40" t="n"/>
      <c r="L9" s="40" t="n"/>
      <c r="M9" s="41" t="n"/>
      <c r="N9" s="2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5.75" customHeight="1" s="35">
      <c r="A10" s="2" t="n"/>
      <c r="B10" s="30" t="n">
        <v>46246</v>
      </c>
      <c r="C10" s="31" t="inlineStr">
        <is>
          <t>0.1</t>
        </is>
      </c>
      <c r="D10" s="31" t="inlineStr">
        <is>
          <t>박지훈</t>
        </is>
      </c>
      <c r="E10" s="31" t="n"/>
      <c r="F10" s="47" t="inlineStr">
        <is>
          <t>신규 작성 — 오염물질 배출관리 데이터 정의서 템플릿 작성</t>
        </is>
      </c>
      <c r="G10" s="40" t="n"/>
      <c r="H10" s="40" t="n"/>
      <c r="I10" s="40" t="n"/>
      <c r="J10" s="40" t="n"/>
      <c r="K10" s="40" t="n"/>
      <c r="L10" s="40" t="n"/>
      <c r="M10" s="41" t="n"/>
      <c r="N10" s="2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23.25" customHeight="1" s="35">
      <c r="A11" s="2" t="n"/>
      <c r="B11" s="33" t="n"/>
      <c r="C11" s="3" t="n"/>
      <c r="D11" s="3" t="n"/>
      <c r="E11" s="3" t="n"/>
      <c r="F11" s="3" t="n"/>
      <c r="G11" s="3" t="n"/>
      <c r="H11" s="3" t="n"/>
      <c r="I11" s="3" t="n"/>
      <c r="J11" s="3" t="n"/>
      <c r="K11" s="2" t="n"/>
      <c r="L11" s="2" t="n"/>
      <c r="M11" s="2" t="n"/>
      <c r="N11" s="2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23.25" customHeight="1" s="35">
      <c r="A12" s="2" t="n"/>
      <c r="B12" s="33" t="n"/>
      <c r="C12" s="3" t="n"/>
      <c r="D12" s="3" t="n"/>
      <c r="E12" s="3" t="n"/>
      <c r="F12" s="3" t="n"/>
      <c r="G12" s="3" t="n"/>
      <c r="H12" s="3" t="n"/>
      <c r="I12" s="3" t="n"/>
      <c r="J12" s="3" t="n"/>
      <c r="K12" s="2" t="n"/>
      <c r="L12" s="2" t="n"/>
      <c r="M12" s="2" t="n"/>
      <c r="N12" s="2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23.25" customHeight="1" s="35">
      <c r="A13" s="2" t="n"/>
      <c r="B13" s="33" t="n"/>
      <c r="C13" s="3" t="n"/>
      <c r="D13" s="3" t="n"/>
      <c r="E13" s="3" t="n"/>
      <c r="F13" s="3" t="n"/>
      <c r="G13" s="3" t="n"/>
      <c r="H13" s="3" t="n"/>
      <c r="I13" s="3" t="n"/>
      <c r="J13" s="3" t="n"/>
      <c r="K13" s="2" t="n"/>
      <c r="L13" s="2" t="n"/>
      <c r="M13" s="2" t="n"/>
      <c r="N13" s="2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23.25" customHeight="1" s="35">
      <c r="A14" s="2" t="n"/>
      <c r="B14" s="33" t="n"/>
      <c r="C14" s="3" t="n"/>
      <c r="D14" s="3" t="n"/>
      <c r="E14" s="3" t="n"/>
      <c r="F14" s="3" t="n"/>
      <c r="G14" s="3" t="n"/>
      <c r="H14" s="3" t="n"/>
      <c r="I14" s="3" t="n"/>
      <c r="J14" s="3" t="n"/>
      <c r="K14" s="2" t="n"/>
      <c r="L14" s="2" t="n"/>
      <c r="M14" s="2" t="n"/>
      <c r="N14" s="2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23.25" customHeight="1" s="35">
      <c r="A15" s="2" t="n"/>
      <c r="N15" s="2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3.5" customHeight="1" s="35">
      <c r="A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 s="35">
      <c r="A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 s="35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 s="35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3.5" customHeight="1" s="35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3.5" customHeight="1" s="35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3.5" customHeight="1" s="35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3.5" customHeight="1" s="35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3.5" customHeight="1" s="35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3.5" customHeight="1" s="3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3.5" customHeight="1" s="3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3.5" customHeight="1" s="35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.5" customHeight="1" s="35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.5" customHeight="1" s="35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35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 s="35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 s="35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 s="35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35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 s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 s="35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 s="35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35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5" customHeight="1" s="35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5" customHeight="1" s="35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 s="35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5" customHeight="1" s="35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5" customHeight="1" s="35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5" customHeight="1" s="35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 s="3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 s="35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 s="35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35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 s="35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 s="35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35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35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35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35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3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35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35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35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35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35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35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35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35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35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3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35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35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35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35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35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35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35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35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35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3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35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35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35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35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35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35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35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35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35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3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35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35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35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35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35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35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35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35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35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3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35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35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35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35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35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35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35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35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35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3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35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35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35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35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35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35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35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35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35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3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35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35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35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35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35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35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35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35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35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3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35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3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3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3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3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3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3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3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3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3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3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3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3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3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3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3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3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3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3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3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3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3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3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3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3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3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3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3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3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3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3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3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3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3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3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3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3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3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3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3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3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3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3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3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3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3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3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3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3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3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3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3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3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3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3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3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3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3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3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3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3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3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3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3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3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3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3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3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3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3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3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3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3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3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3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3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3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3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3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3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3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3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3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3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3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3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3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3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3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3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3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3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3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3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3">
    <mergeCell ref="B15:M17"/>
    <mergeCell ref="J4:K4"/>
    <mergeCell ref="F9:M9"/>
    <mergeCell ref="B7:M7"/>
    <mergeCell ref="L4:M4"/>
    <mergeCell ref="C3:M3"/>
    <mergeCell ref="D5:F5"/>
    <mergeCell ref="H5:J5"/>
    <mergeCell ref="F10:M10"/>
    <mergeCell ref="L5:M5"/>
    <mergeCell ref="B3:B5"/>
    <mergeCell ref="H4:I4"/>
    <mergeCell ref="D4:G4"/>
  </mergeCells>
  <printOptions horizontalCentered="1" verticalCentered="1"/>
  <pageMargins left="0.7086614173228347" right="0.7086614173228347" top="0.7480314960629921" bottom="0.7480314960629921" header="0" footer="0"/>
  <pageSetup orientation="landscape" paperSize="9" scale="8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1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5.13" customWidth="1" style="35" min="1" max="3"/>
    <col width="18.88" customWidth="1" style="35" min="4" max="4"/>
    <col width="12.63" customWidth="1" style="35" min="5" max="5"/>
    <col width="10.13" customWidth="1" style="35" min="6" max="6"/>
    <col width="25.13" customWidth="1" style="35" min="7" max="8"/>
    <col width="12.63" customWidth="1" style="35" min="9" max="9"/>
    <col width="18.88" customWidth="1" style="35" min="10" max="11"/>
  </cols>
  <sheetData>
    <row r="1" ht="15.75" customHeight="1" s="35">
      <c r="A1" s="4" t="inlineStr">
        <is>
          <t>요구사항 ID</t>
        </is>
      </c>
      <c r="B1" s="4" t="inlineStr">
        <is>
          <t>화면 ID</t>
        </is>
      </c>
      <c r="C1" s="4" t="inlineStr">
        <is>
          <t>데이터 그룹</t>
        </is>
      </c>
      <c r="D1" s="4" t="inlineStr">
        <is>
          <t>데이터 명</t>
        </is>
      </c>
      <c r="E1" s="4" t="inlineStr">
        <is>
          <t>데이터 타입</t>
        </is>
      </c>
      <c r="F1" s="4" t="inlineStr">
        <is>
          <t>단위</t>
        </is>
      </c>
      <c r="G1" s="4" t="inlineStr">
        <is>
          <t>계산식/로직</t>
        </is>
      </c>
      <c r="H1" s="4" t="inlineStr">
        <is>
          <t>수집 출처/레퍼런스</t>
        </is>
      </c>
      <c r="I1" s="5" t="inlineStr">
        <is>
          <t>UI 표출 여부</t>
        </is>
      </c>
      <c r="J1" s="5" t="inlineStr">
        <is>
          <t>UI 위치/구성요소</t>
        </is>
      </c>
      <c r="K1" s="5" t="inlineStr">
        <is>
          <t>비고</t>
        </is>
      </c>
    </row>
    <row r="2" s="35">
      <c r="A2" s="24" t="inlineStr">
        <is>
          <t>REQ-AD-026</t>
        </is>
      </c>
      <c r="B2" s="24" t="inlineStr">
        <is>
          <t>SCR-OP-001</t>
        </is>
      </c>
      <c r="C2" s="24" t="inlineStr">
        <is>
          <t>사업장</t>
        </is>
      </c>
      <c r="D2" s="24" t="inlineStr">
        <is>
          <t>사업장 ID</t>
        </is>
      </c>
      <c r="E2" s="24" t="inlineStr">
        <is>
          <t>string</t>
        </is>
      </c>
      <c r="F2" s="24" t="inlineStr">
        <is>
          <t>—</t>
        </is>
      </c>
      <c r="G2" s="24" t="inlineStr">
        <is>
          <t>—</t>
        </is>
      </c>
      <c r="H2" s="24" t="inlineStr">
        <is>
          <t>[설계]</t>
        </is>
      </c>
      <c r="I2" s="8" t="inlineStr">
        <is>
          <t>N</t>
        </is>
      </c>
      <c r="J2" s="8" t="inlineStr">
        <is>
          <t>—</t>
        </is>
      </c>
      <c r="K2" s="8" t="inlineStr"/>
    </row>
    <row r="3" s="35">
      <c r="A3" s="24" t="inlineStr">
        <is>
          <t>REQ-AD-026</t>
        </is>
      </c>
      <c r="B3" s="24" t="inlineStr">
        <is>
          <t>SCR-OP-001</t>
        </is>
      </c>
      <c r="C3" s="24" t="inlineStr">
        <is>
          <t>사업장</t>
        </is>
      </c>
      <c r="D3" s="24" t="inlineStr">
        <is>
          <t>사업장명</t>
        </is>
      </c>
      <c r="E3" s="24" t="inlineStr">
        <is>
          <t>string</t>
        </is>
      </c>
      <c r="F3" s="24" t="inlineStr">
        <is>
          <t>—</t>
        </is>
      </c>
      <c r="G3" s="24" t="inlineStr">
        <is>
          <t>—</t>
        </is>
      </c>
      <c r="H3" s="24" t="inlineStr">
        <is>
          <t>[설계]</t>
        </is>
      </c>
      <c r="I3" s="8" t="inlineStr">
        <is>
          <t>Y</t>
        </is>
      </c>
      <c r="J3" s="8" t="inlineStr">
        <is>
          <t>지도 핀 · 월보드 카드 · 헤더 선택</t>
        </is>
      </c>
      <c r="K3" s="8" t="inlineStr"/>
    </row>
    <row r="4" s="35">
      <c r="A4" s="24" t="inlineStr">
        <is>
          <t>REQ-AD-026</t>
        </is>
      </c>
      <c r="B4" s="24" t="inlineStr">
        <is>
          <t>SCR-OP-001</t>
        </is>
      </c>
      <c r="C4" s="24" t="inlineStr">
        <is>
          <t>사업장</t>
        </is>
      </c>
      <c r="D4" s="24" t="inlineStr">
        <is>
          <t>업종</t>
        </is>
      </c>
      <c r="E4" s="24" t="inlineStr">
        <is>
          <t>열거 5종</t>
        </is>
      </c>
      <c r="F4" s="24" t="inlineStr">
        <is>
          <t>—</t>
        </is>
      </c>
      <c r="G4" s="24" t="inlineStr">
        <is>
          <t>—</t>
        </is>
      </c>
      <c r="H4" s="24" t="inlineStr">
        <is>
          <t>[원문 p.37] 섬유·염색/식품/화학/도금/전자부품</t>
        </is>
      </c>
      <c r="I4" s="8" t="inlineStr">
        <is>
          <t>Y</t>
        </is>
      </c>
      <c r="J4" s="8" t="inlineStr">
        <is>
          <t>월보드 카드</t>
        </is>
      </c>
      <c r="K4" s="8" t="inlineStr"/>
    </row>
    <row r="5" s="35">
      <c r="A5" s="24" t="inlineStr">
        <is>
          <t>REQ-AD-026</t>
        </is>
      </c>
      <c r="B5" s="24" t="inlineStr">
        <is>
          <t>SCR-OP-001</t>
        </is>
      </c>
      <c r="C5" s="24" t="inlineStr">
        <is>
          <t>사업장</t>
        </is>
      </c>
      <c r="D5" s="24" t="inlineStr">
        <is>
          <t>지역</t>
        </is>
      </c>
      <c r="E5" s="24" t="inlineStr">
        <is>
          <t>string</t>
        </is>
      </c>
      <c r="F5" s="24" t="inlineStr">
        <is>
          <t>—</t>
        </is>
      </c>
      <c r="G5" s="24" t="inlineStr">
        <is>
          <t>—</t>
        </is>
      </c>
      <c r="H5" s="24" t="inlineStr">
        <is>
          <t>[PROVISIONAL] 시·군 표기</t>
        </is>
      </c>
      <c r="I5" s="8" t="inlineStr">
        <is>
          <t>Y</t>
        </is>
      </c>
      <c r="J5" s="8" t="inlineStr">
        <is>
          <t>월보드 카드 · 헤더 선택</t>
        </is>
      </c>
      <c r="K5" s="8" t="inlineStr">
        <is>
          <t>임시값 — 확정 시 src/shared/config/provisional.ts 한 파일을 교체한다</t>
        </is>
      </c>
    </row>
    <row r="6" s="35">
      <c r="A6" s="24" t="inlineStr">
        <is>
          <t>REQ-AD-026</t>
        </is>
      </c>
      <c r="B6" s="24" t="inlineStr">
        <is>
          <t>SCR-OP-001</t>
        </is>
      </c>
      <c r="C6" s="24" t="inlineStr">
        <is>
          <t>사업장</t>
        </is>
      </c>
      <c r="D6" s="24" t="inlineStr">
        <is>
          <t>주소</t>
        </is>
      </c>
      <c r="E6" s="24" t="inlineStr">
        <is>
          <t>string</t>
        </is>
      </c>
      <c r="F6" s="24" t="inlineStr">
        <is>
          <t>—</t>
        </is>
      </c>
      <c r="G6" s="24" t="inlineStr">
        <is>
          <t>—</t>
        </is>
      </c>
      <c r="H6" s="24" t="inlineStr">
        <is>
          <t>[PROVISIONAL] 실증지 주소가 원문에 없어 시·군까지만</t>
        </is>
      </c>
      <c r="I6" s="8" t="inlineStr">
        <is>
          <t>Y</t>
        </is>
      </c>
      <c r="J6" s="8" t="inlineStr">
        <is>
          <t>지도 요약 카드</t>
        </is>
      </c>
      <c r="K6" s="8" t="inlineStr">
        <is>
          <t>임시값 — 확정 시 src/shared/config/provisional.ts 한 파일을 교체한다</t>
        </is>
      </c>
    </row>
    <row r="7" s="35">
      <c r="A7" s="24" t="inlineStr">
        <is>
          <t>REQ-AD-026</t>
        </is>
      </c>
      <c r="B7" s="24" t="inlineStr">
        <is>
          <t>SCR-OP-001</t>
        </is>
      </c>
      <c r="C7" s="24" t="inlineStr">
        <is>
          <t>사업장</t>
        </is>
      </c>
      <c r="D7" s="24" t="inlineStr">
        <is>
          <t>소속 시도</t>
        </is>
      </c>
      <c r="E7" s="24" t="inlineStr">
        <is>
          <t>string</t>
        </is>
      </c>
      <c r="F7" s="24" t="inlineStr">
        <is>
          <t>—</t>
        </is>
      </c>
      <c r="G7" s="24" t="inlineStr">
        <is>
          <t>—</t>
        </is>
      </c>
      <c r="H7" s="24" t="inlineStr">
        <is>
          <t>[PROVISIONAL] 지도 도형과 매칭용</t>
        </is>
      </c>
      <c r="I7" s="8" t="inlineStr">
        <is>
          <t>N</t>
        </is>
      </c>
      <c r="J7" s="8" t="inlineStr">
        <is>
          <t>—</t>
        </is>
      </c>
      <c r="K7" s="8" t="inlineStr">
        <is>
          <t>임시값 — 확정 시 src/shared/config/provisional.ts 한 파일을 교체한다</t>
        </is>
      </c>
    </row>
    <row r="8" s="35">
      <c r="A8" s="24" t="inlineStr">
        <is>
          <t>REQ-AD-026</t>
        </is>
      </c>
      <c r="B8" s="24" t="inlineStr">
        <is>
          <t>SCR-OP-001</t>
        </is>
      </c>
      <c r="C8" s="24" t="inlineStr">
        <is>
          <t>사업장</t>
        </is>
      </c>
      <c r="D8" s="24" t="inlineStr">
        <is>
          <t>좌표</t>
        </is>
      </c>
      <c r="E8" s="24" t="inlineStr">
        <is>
          <t>[lat, lng]</t>
        </is>
      </c>
      <c r="F8" s="24" t="inlineStr">
        <is>
          <t>도(°)</t>
        </is>
      </c>
      <c r="G8" s="24" t="inlineStr">
        <is>
          <t>—</t>
        </is>
      </c>
      <c r="H8" s="24" t="inlineStr">
        <is>
          <t>[PROVISIONAL] 주소 기준 시·군 중심 근사값. 주소와 함께 갱신</t>
        </is>
      </c>
      <c r="I8" s="8" t="inlineStr">
        <is>
          <t>Y</t>
        </is>
      </c>
      <c r="J8" s="8" t="inlineStr">
        <is>
          <t>지도 핀 위치</t>
        </is>
      </c>
      <c r="K8" s="8" t="inlineStr">
        <is>
          <t>임시값 — 확정 시 src/shared/config/provisional.ts 한 파일을 교체한다</t>
        </is>
      </c>
    </row>
    <row r="9" s="35">
      <c r="A9" s="24" t="inlineStr">
        <is>
          <t>REQ-AD-025</t>
        </is>
      </c>
      <c r="B9" s="24" t="inlineStr">
        <is>
          <t>SCR-OP-003</t>
        </is>
      </c>
      <c r="C9" s="24" t="inlineStr">
        <is>
          <t>사업장</t>
        </is>
      </c>
      <c r="D9" s="24" t="inlineStr">
        <is>
          <t>지역구분</t>
        </is>
      </c>
      <c r="E9" s="24" t="inlineStr">
        <is>
          <t>4등급 | null</t>
        </is>
      </c>
      <c r="F9" s="24" t="inlineStr">
        <is>
          <t>—</t>
        </is>
      </c>
      <c r="G9" s="24" t="inlineStr">
        <is>
          <t>—</t>
        </is>
      </c>
      <c r="H9" s="24" t="inlineStr">
        <is>
          <t>[공정자료 p.11] 청정&gt;가&gt;나&gt;특례 · 10개소 전부 원문에 없어 null [TBD-45]</t>
        </is>
      </c>
      <c r="I9" s="8" t="inlineStr">
        <is>
          <t>Y</t>
        </is>
      </c>
      <c r="J9" s="8" t="inlineStr">
        <is>
          <t>시계열 화면 기준 안내문</t>
        </is>
      </c>
      <c r="K9" s="8" t="inlineStr">
        <is>
          <t>TBD-45 원문 미확정</t>
        </is>
      </c>
    </row>
    <row r="10" s="35">
      <c r="A10" s="24" t="inlineStr">
        <is>
          <t>REQ-AD-025</t>
        </is>
      </c>
      <c r="B10" s="24" t="inlineStr">
        <is>
          <t>SCR-OP-003</t>
        </is>
      </c>
      <c r="C10" s="24" t="inlineStr">
        <is>
          <t>사업장</t>
        </is>
      </c>
      <c r="D10" s="24" t="inlineStr">
        <is>
          <t>배출량 규모</t>
        </is>
      </c>
      <c r="E10" s="24" t="inlineStr">
        <is>
          <t>4구간 | null</t>
        </is>
      </c>
      <c r="F10" s="24" t="inlineStr">
        <is>
          <t>㎥/일</t>
        </is>
      </c>
      <c r="G10" s="24" t="inlineStr">
        <is>
          <t>—</t>
        </is>
      </c>
      <c r="H10" s="24" t="inlineStr">
        <is>
          <t>[공정자료 p.11] 2,000 이상/700~2,000/200~700/200 미만 · 진유원만 4종 [데이터셋 Non_TMS_sites/04] · 나머지 null [TBD-45]</t>
        </is>
      </c>
      <c r="I10" s="8" t="inlineStr">
        <is>
          <t>Y</t>
        </is>
      </c>
      <c r="J10" s="8" t="inlineStr">
        <is>
          <t>시계열 화면 기준 안내문</t>
        </is>
      </c>
      <c r="K10" s="8" t="inlineStr">
        <is>
          <t>TBD-45 원문 미확정</t>
        </is>
      </c>
    </row>
    <row r="11" s="35">
      <c r="A11" s="24" t="inlineStr">
        <is>
          <t>REQ-AD-006</t>
        </is>
      </c>
      <c r="B11" s="24" t="inlineStr">
        <is>
          <t>SCR-OP-001·002</t>
        </is>
      </c>
      <c r="C11" s="24" t="inlineStr">
        <is>
          <t>사업장</t>
        </is>
      </c>
      <c r="D11" s="24" t="inlineStr">
        <is>
          <t>이상 점수</t>
        </is>
      </c>
      <c r="E11" s="24" t="inlineStr">
        <is>
          <t>number | null</t>
        </is>
      </c>
      <c r="F11" s="24" t="inlineStr">
        <is>
          <t>점</t>
        </is>
      </c>
      <c r="G11" s="24" t="inlineStr">
        <is>
          <t>[파생: 이상 점수 계열의 마지막 값]</t>
        </is>
      </c>
      <c r="H11" s="24" t="inlineStr">
        <is>
          <t>[원문 p.64] 0~100 정규화</t>
        </is>
      </c>
      <c r="I11" s="8" t="inlineStr">
        <is>
          <t>Y</t>
        </is>
      </c>
      <c r="J11" s="8" t="inlineStr">
        <is>
          <t>월보드 카드 · 지표 타일 · 순위</t>
        </is>
      </c>
      <c r="K11" s="8" t="inlineStr"/>
    </row>
    <row r="12" s="35">
      <c r="A12" s="24" t="inlineStr">
        <is>
          <t>REQ-AD-007</t>
        </is>
      </c>
      <c r="B12" s="24" t="inlineStr">
        <is>
          <t>SCR-OP-001·002</t>
        </is>
      </c>
      <c r="C12" s="24" t="inlineStr">
        <is>
          <t>사업장</t>
        </is>
      </c>
      <c r="D12" s="24" t="inlineStr">
        <is>
          <t>상태 등급</t>
        </is>
      </c>
      <c r="E12" s="24" t="inlineStr">
        <is>
          <t>4등급 | null</t>
        </is>
      </c>
      <c r="F12" s="24" t="inlineStr">
        <is>
          <t>—</t>
        </is>
      </c>
      <c r="G12" s="24" t="inlineStr">
        <is>
          <t>[파생: toStatusLevel(이상 점수)]</t>
        </is>
      </c>
      <c r="H12" s="24" t="inlineStr">
        <is>
          <t>[INC-01·03·04] 잠정 4단계 · 경계 [TBD-02]</t>
        </is>
      </c>
      <c r="I12" s="8" t="inlineStr">
        <is>
          <t>Y</t>
        </is>
      </c>
      <c r="J12" s="8" t="inlineStr">
        <is>
          <t>상태 배지 · 지도 핀 색</t>
        </is>
      </c>
      <c r="K12" s="8" t="inlineStr">
        <is>
          <t>TBD-02 원문 미확정 / INC-01 원문 모순 — 채택안은 출처 열에 적었다</t>
        </is>
      </c>
    </row>
    <row r="13" s="35">
      <c r="A13" s="24" t="inlineStr">
        <is>
          <t>REQ-AD-026</t>
        </is>
      </c>
      <c r="B13" s="24" t="inlineStr">
        <is>
          <t>SCR-OP-001</t>
        </is>
      </c>
      <c r="C13" s="24" t="inlineStr">
        <is>
          <t>사업장</t>
        </is>
      </c>
      <c r="D13" s="24" t="inlineStr">
        <is>
          <t>통신 상태</t>
        </is>
      </c>
      <c r="E13" s="24" t="inlineStr">
        <is>
          <t>boolean</t>
        </is>
      </c>
      <c r="F13" s="24" t="inlineStr">
        <is>
          <t>—</t>
        </is>
      </c>
      <c r="G13" s="24" t="inlineStr">
        <is>
          <t>—</t>
        </is>
      </c>
      <c r="H13" s="24" t="inlineStr">
        <is>
          <t>[설계] ECP 수신 여부</t>
        </is>
      </c>
      <c r="I13" s="8" t="inlineStr">
        <is>
          <t>Y</t>
        </is>
      </c>
      <c r="J13" s="8" t="inlineStr">
        <is>
          <t>핀 형태(채움/테두리) · 빈 상태 분기</t>
        </is>
      </c>
      <c r="K13" s="8" t="inlineStr"/>
    </row>
    <row r="14" s="35">
      <c r="A14" s="24" t="inlineStr">
        <is>
          <t>REQ-AD-026</t>
        </is>
      </c>
      <c r="B14" s="24" t="inlineStr">
        <is>
          <t>SCR-OP-001</t>
        </is>
      </c>
      <c r="C14" s="24" t="inlineStr">
        <is>
          <t>사업장</t>
        </is>
      </c>
      <c r="D14" s="24" t="inlineStr">
        <is>
          <t>마지막 수신 시각</t>
        </is>
      </c>
      <c r="E14" s="24" t="inlineStr">
        <is>
          <t>ISO8601</t>
        </is>
      </c>
      <c r="F14" s="24" t="inlineStr">
        <is>
          <t>KST</t>
        </is>
      </c>
      <c r="G14" s="24" t="inlineStr">
        <is>
          <t>—</t>
        </is>
      </c>
      <c r="H14" s="24" t="inlineStr">
        <is>
          <t>[설계] E3·E5</t>
        </is>
      </c>
      <c r="I14" s="8" t="inlineStr">
        <is>
          <t>Y</t>
        </is>
      </c>
      <c r="J14" s="8" t="inlineStr">
        <is>
          <t>빈 상태 안내</t>
        </is>
      </c>
      <c r="K14" s="8" t="inlineStr"/>
    </row>
    <row r="15" s="35">
      <c r="A15" s="24" t="inlineStr">
        <is>
          <t>REQ-AD-026</t>
        </is>
      </c>
      <c r="B15" s="24" t="inlineStr">
        <is>
          <t>SCR-OP-001</t>
        </is>
      </c>
      <c r="C15" s="24" t="inlineStr">
        <is>
          <t>사업장</t>
        </is>
      </c>
      <c r="D15" s="24" t="inlineStr">
        <is>
          <t>추이 스파크라인</t>
        </is>
      </c>
      <c r="E15" s="24" t="inlineStr">
        <is>
          <t>(number|null)[]</t>
        </is>
      </c>
      <c r="F15" s="24" t="inlineStr">
        <is>
          <t>점</t>
        </is>
      </c>
      <c r="G15" s="24" t="inlineStr">
        <is>
          <t>[파생: 이상 점수 계열 다운샘플]</t>
        </is>
      </c>
      <c r="H15" s="24" t="inlineStr">
        <is>
          <t>[설계]</t>
        </is>
      </c>
      <c r="I15" s="8" t="inlineStr">
        <is>
          <t>Y</t>
        </is>
      </c>
      <c r="J15" s="8" t="inlineStr">
        <is>
          <t>월보드 카드 · 순위</t>
        </is>
      </c>
      <c r="K15" s="8" t="inlineStr"/>
    </row>
    <row r="16" s="35">
      <c r="A16" s="24" t="inlineStr">
        <is>
          <t>REQ-NF-002</t>
        </is>
      </c>
      <c r="B16" s="24" t="inlineStr">
        <is>
          <t>SCR-OP-001·008</t>
        </is>
      </c>
      <c r="C16" s="24" t="inlineStr">
        <is>
          <t>사업장</t>
        </is>
      </c>
      <c r="D16" s="24" t="inlineStr">
        <is>
          <t>데이터 처리율</t>
        </is>
      </c>
      <c r="E16" s="24" t="inlineStr">
        <is>
          <t>number</t>
        </is>
      </c>
      <c r="F16" s="24" t="inlineStr">
        <is>
          <t>%</t>
        </is>
      </c>
      <c r="G16" s="24" t="inlineStr">
        <is>
          <t>—</t>
        </is>
      </c>
      <c r="H16" s="24" t="inlineStr">
        <is>
          <t>[원문 p.3·121] 목표 ≥98% · 자릿수 1 [PROVISIONAL]</t>
        </is>
      </c>
      <c r="I16" s="8" t="inlineStr">
        <is>
          <t>Y</t>
        </is>
      </c>
      <c r="J16" s="8" t="inlineStr">
        <is>
          <t>지표 타일 · 리포트 표</t>
        </is>
      </c>
      <c r="K16" s="8" t="inlineStr">
        <is>
          <t>임시값 — 확정 시 src/shared/config/provisional.ts 한 파일을 교체한다</t>
        </is>
      </c>
    </row>
    <row r="17" s="35">
      <c r="A17" s="24" t="inlineStr">
        <is>
          <t>REQ-NF-006</t>
        </is>
      </c>
      <c r="B17" s="24" t="inlineStr">
        <is>
          <t>SCR-OP-001·008</t>
        </is>
      </c>
      <c r="C17" s="24" t="inlineStr">
        <is>
          <t>사업장</t>
        </is>
      </c>
      <c r="D17" s="24" t="inlineStr">
        <is>
          <t>시스템 가동률</t>
        </is>
      </c>
      <c r="E17" s="24" t="inlineStr">
        <is>
          <t>number</t>
        </is>
      </c>
      <c r="F17" s="24" t="inlineStr">
        <is>
          <t>%</t>
        </is>
      </c>
      <c r="G17" s="24" t="inlineStr">
        <is>
          <t>—</t>
        </is>
      </c>
      <c r="H17" s="24" t="inlineStr">
        <is>
          <t>[원문 p.38·119] 목표 ≥95% · 산정식 [TBD] · 자릿수 1 [PROVISIONAL]</t>
        </is>
      </c>
      <c r="I17" s="8" t="inlineStr">
        <is>
          <t>Y</t>
        </is>
      </c>
      <c r="J17" s="8" t="inlineStr">
        <is>
          <t>지표 타일 · 리포트 표</t>
        </is>
      </c>
      <c r="K17" s="8" t="inlineStr">
        <is>
          <t>임시값 — 확정 시 src/shared/config/provisional.ts 한 파일을 교체한다 / TBD 원문 미확정</t>
        </is>
      </c>
    </row>
    <row r="18" s="35">
      <c r="A18" s="24" t="inlineStr">
        <is>
          <t>REQ-AD-001</t>
        </is>
      </c>
      <c r="B18" s="24" t="inlineStr">
        <is>
          <t>SCR-OP-003</t>
        </is>
      </c>
      <c r="C18" s="24" t="inlineStr">
        <is>
          <t>계측 파생값</t>
        </is>
      </c>
      <c r="D18" s="24" t="inlineStr">
        <is>
          <t>최소</t>
        </is>
      </c>
      <c r="E18" s="24" t="inlineStr">
        <is>
          <t>number | null</t>
        </is>
      </c>
      <c r="F18" s="24" t="inlineStr">
        <is>
          <t>항목 단위</t>
        </is>
      </c>
      <c r="G18" s="24" t="inlineStr">
        <is>
          <t>[파생: 결측 제외 min]</t>
        </is>
      </c>
      <c r="H18" s="24" t="inlineStr">
        <is>
          <t>[파생] 원본은 계측 항목 표의 계측값</t>
        </is>
      </c>
      <c r="I18" s="8" t="inlineStr">
        <is>
          <t>Y</t>
        </is>
      </c>
      <c r="J18" s="8" t="inlineStr">
        <is>
          <t>시계열 요약표 최소</t>
        </is>
      </c>
      <c r="K18" s="8" t="inlineStr"/>
    </row>
    <row r="19" s="35">
      <c r="A19" s="24" t="inlineStr">
        <is>
          <t>REQ-AD-001</t>
        </is>
      </c>
      <c r="B19" s="24" t="inlineStr">
        <is>
          <t>SCR-OP-003</t>
        </is>
      </c>
      <c r="C19" s="24" t="inlineStr">
        <is>
          <t>계측 파생값</t>
        </is>
      </c>
      <c r="D19" s="24" t="inlineStr">
        <is>
          <t>평균</t>
        </is>
      </c>
      <c r="E19" s="24" t="inlineStr">
        <is>
          <t>number | null</t>
        </is>
      </c>
      <c r="F19" s="24" t="inlineStr">
        <is>
          <t>항목 단위</t>
        </is>
      </c>
      <c r="G19" s="24" t="inlineStr">
        <is>
          <t>[파생: 결측 제외 평균]</t>
        </is>
      </c>
      <c r="H19" s="24" t="inlineStr">
        <is>
          <t>[파생] 원본은 계측 항목 표의 계측값</t>
        </is>
      </c>
      <c r="I19" s="8" t="inlineStr">
        <is>
          <t>Y</t>
        </is>
      </c>
      <c r="J19" s="8" t="inlineStr">
        <is>
          <t>시계열 요약표 평균</t>
        </is>
      </c>
      <c r="K19" s="8" t="inlineStr"/>
    </row>
    <row r="20" s="35">
      <c r="A20" s="24" t="inlineStr">
        <is>
          <t>REQ-AD-001</t>
        </is>
      </c>
      <c r="B20" s="24" t="inlineStr">
        <is>
          <t>SCR-OP-003</t>
        </is>
      </c>
      <c r="C20" s="24" t="inlineStr">
        <is>
          <t>계측 파생값</t>
        </is>
      </c>
      <c r="D20" s="24" t="inlineStr">
        <is>
          <t>최대</t>
        </is>
      </c>
      <c r="E20" s="24" t="inlineStr">
        <is>
          <t>number | null</t>
        </is>
      </c>
      <c r="F20" s="24" t="inlineStr">
        <is>
          <t>항목 단위</t>
        </is>
      </c>
      <c r="G20" s="24" t="inlineStr">
        <is>
          <t>[파생: 결측 제외 max]</t>
        </is>
      </c>
      <c r="H20" s="24" t="inlineStr">
        <is>
          <t>[파생] 원본은 계측 항목 표의 계측값</t>
        </is>
      </c>
      <c r="I20" s="8" t="inlineStr">
        <is>
          <t>Y</t>
        </is>
      </c>
      <c r="J20" s="8" t="inlineStr">
        <is>
          <t>시계열 요약표 최대</t>
        </is>
      </c>
      <c r="K20" s="8" t="inlineStr"/>
    </row>
    <row r="21" s="35">
      <c r="A21" s="24" t="inlineStr">
        <is>
          <t>REQ-AD-001</t>
        </is>
      </c>
      <c r="B21" s="24" t="inlineStr">
        <is>
          <t>SCR-OP-003</t>
        </is>
      </c>
      <c r="C21" s="24" t="inlineStr">
        <is>
          <t>계측 파생값</t>
        </is>
      </c>
      <c r="D21" s="24" t="inlineStr">
        <is>
          <t>최신</t>
        </is>
      </c>
      <c r="E21" s="24" t="inlineStr">
        <is>
          <t>number | null</t>
        </is>
      </c>
      <c r="F21" s="24" t="inlineStr">
        <is>
          <t>항목 단위</t>
        </is>
      </c>
      <c r="G21" s="24" t="inlineStr">
        <is>
          <t>[파생: 마지막 표본의 값] — 결측이면 앞 값을 끌어오지 않는다</t>
        </is>
      </c>
      <c r="H21" s="24" t="inlineStr">
        <is>
          <t>[파생] 원본은 계측 항목 표의 계측값</t>
        </is>
      </c>
      <c r="I21" s="8" t="inlineStr">
        <is>
          <t>Y</t>
        </is>
      </c>
      <c r="J21" s="8" t="inlineStr">
        <is>
          <t>시계열 요약표 최신 · 계측 격자 현재값</t>
        </is>
      </c>
      <c r="K21" s="8" t="inlineStr"/>
    </row>
    <row r="22" s="35">
      <c r="A22" s="24" t="inlineStr">
        <is>
          <t>REQ-AD-001</t>
        </is>
      </c>
      <c r="B22" s="24" t="inlineStr">
        <is>
          <t>SCR-OP-003</t>
        </is>
      </c>
      <c r="C22" s="24" t="inlineStr">
        <is>
          <t>계측 파생값</t>
        </is>
      </c>
      <c r="D22" s="24" t="inlineStr">
        <is>
          <t>결측 표본 수</t>
        </is>
      </c>
      <c r="E22" s="24" t="inlineStr">
        <is>
          <t>number</t>
        </is>
      </c>
      <c r="F22" s="24" t="inlineStr">
        <is>
          <t>건</t>
        </is>
      </c>
      <c r="G22" s="24" t="inlineStr">
        <is>
          <t>[파생: null 개수]</t>
        </is>
      </c>
      <c r="H22" s="24" t="inlineStr">
        <is>
          <t>[파생] E4 — 0으로 채우지 않는다</t>
        </is>
      </c>
      <c r="I22" s="8" t="inlineStr">
        <is>
          <t>Y</t>
        </is>
      </c>
      <c r="J22" s="8" t="inlineStr">
        <is>
          <t>요약표·집계표 결측</t>
        </is>
      </c>
      <c r="K22" s="8" t="inlineStr"/>
    </row>
    <row r="23" s="35">
      <c r="A23" s="24" t="inlineStr">
        <is>
          <t>REQ-AD-001</t>
        </is>
      </c>
      <c r="B23" s="24" t="inlineStr">
        <is>
          <t>SCR-OP-003</t>
        </is>
      </c>
      <c r="C23" s="24" t="inlineStr">
        <is>
          <t>계측 파생값</t>
        </is>
      </c>
      <c r="D23" s="24" t="inlineStr">
        <is>
          <t>전체 표본 수</t>
        </is>
      </c>
      <c r="E23" s="24" t="inlineStr">
        <is>
          <t>number</t>
        </is>
      </c>
      <c r="F23" s="24" t="inlineStr">
        <is>
          <t>건</t>
        </is>
      </c>
      <c r="G23" s="24" t="inlineStr">
        <is>
          <t>[파생: 구간 표본 수]</t>
        </is>
      </c>
      <c r="H23" s="24" t="inlineStr">
        <is>
          <t>[파생] 구간 길이 ÷ 수집 주기</t>
        </is>
      </c>
      <c r="I23" s="8" t="inlineStr">
        <is>
          <t>Y</t>
        </is>
      </c>
      <c r="J23" s="8" t="inlineStr">
        <is>
          <t>요약표·집계표 결측 분모</t>
        </is>
      </c>
      <c r="K23" s="8" t="inlineStr"/>
    </row>
    <row r="24" s="35">
      <c r="A24" s="24" t="inlineStr">
        <is>
          <t>REQ-AD-017</t>
        </is>
      </c>
      <c r="B24" s="24" t="inlineStr">
        <is>
          <t>SCR-OP-006</t>
        </is>
      </c>
      <c r="C24" s="24" t="inlineStr">
        <is>
          <t>계측 파생값</t>
        </is>
      </c>
      <c r="D24" s="24" t="inlineStr">
        <is>
          <t>에너지 효율</t>
        </is>
      </c>
      <c r="E24" s="24" t="inlineStr">
        <is>
          <t>number | null</t>
        </is>
      </c>
      <c r="F24" s="24" t="inlineStr">
        <is>
          <t>kWh/m³</t>
        </is>
      </c>
      <c r="G24" s="24" t="inlineStr">
        <is>
          <t>[파생: 평균전력(kW) × 24 ÷ 평균유량(m³/day)] · 단위 [원문 p.67]</t>
        </is>
      </c>
      <c r="H24" s="24" t="inlineStr">
        <is>
          <t>단위 [원문 p.67] · 계측 전력·유량에서 계산</t>
        </is>
      </c>
      <c r="I24" s="8" t="inlineStr">
        <is>
          <t>Y</t>
        </is>
      </c>
      <c r="J24" s="8" t="inlineStr">
        <is>
          <t>운영 최적화 에너지 비교 · 지표 타일</t>
        </is>
      </c>
      <c r="K24" s="8" t="inlineStr"/>
    </row>
    <row r="25" s="35">
      <c r="A25" s="24" t="inlineStr">
        <is>
          <t>REQ-AD-025</t>
        </is>
      </c>
      <c r="B25" s="24" t="inlineStr">
        <is>
          <t>SCR-OP-003</t>
        </is>
      </c>
      <c r="C25" s="24" t="inlineStr">
        <is>
          <t>배출허용기준</t>
        </is>
      </c>
      <c r="D25" s="24" t="inlineStr">
        <is>
          <t>기준 하한</t>
        </is>
      </c>
      <c r="E25" s="24" t="inlineStr">
        <is>
          <t>number | null</t>
        </is>
      </c>
      <c r="F25" s="24" t="inlineStr">
        <is>
          <t>항목 단위</t>
        </is>
      </c>
      <c r="G25" s="24" t="inlineStr">
        <is>
          <t>—</t>
        </is>
      </c>
      <c r="H25" s="24" t="inlineStr">
        <is>
          <t>pH 5.8 [공정자료 p.11] "통상 널리 적용" · 그 외 null [TBD-45]</t>
        </is>
      </c>
      <c r="I25" s="8" t="inlineStr">
        <is>
          <t>Y</t>
        </is>
      </c>
      <c r="J25" s="8" t="inlineStr">
        <is>
          <t>—</t>
        </is>
      </c>
      <c r="K25" s="8" t="inlineStr">
        <is>
          <t>TBD-45 원문 미확정</t>
        </is>
      </c>
    </row>
    <row r="26" s="35">
      <c r="A26" s="24" t="inlineStr">
        <is>
          <t>REQ-AD-025</t>
        </is>
      </c>
      <c r="B26" s="24" t="inlineStr">
        <is>
          <t>SCR-OP-003</t>
        </is>
      </c>
      <c r="C26" s="24" t="inlineStr">
        <is>
          <t>배출허용기준</t>
        </is>
      </c>
      <c r="D26" s="24" t="inlineStr">
        <is>
          <t>기준 상한</t>
        </is>
      </c>
      <c r="E26" s="24" t="inlineStr">
        <is>
          <t>number | null</t>
        </is>
      </c>
      <c r="F26" s="24" t="inlineStr">
        <is>
          <t>항목 단위</t>
        </is>
      </c>
      <c r="G26" s="24" t="inlineStr">
        <is>
          <t>—</t>
        </is>
      </c>
      <c r="H26" s="24" t="inlineStr">
        <is>
          <t>pH 8.6 [공정자료 p.11] · 그 외 null [TBD-45]</t>
        </is>
      </c>
      <c r="I26" s="8" t="inlineStr">
        <is>
          <t>Y</t>
        </is>
      </c>
      <c r="J26" s="8" t="inlineStr">
        <is>
          <t>—</t>
        </is>
      </c>
      <c r="K26" s="8" t="inlineStr">
        <is>
          <t>TBD-45 원문 미확정</t>
        </is>
      </c>
    </row>
    <row r="27" s="35">
      <c r="A27" s="24" t="inlineStr">
        <is>
          <t>REQ-AD-025</t>
        </is>
      </c>
      <c r="B27" s="24" t="inlineStr">
        <is>
          <t>SCR-OP-003</t>
        </is>
      </c>
      <c r="C27" s="24" t="inlineStr">
        <is>
          <t>배출허용기준</t>
        </is>
      </c>
      <c r="D27" s="24" t="inlineStr">
        <is>
          <t>기준 출처 문구</t>
        </is>
      </c>
      <c r="E27" s="24" t="inlineStr">
        <is>
          <t>string</t>
        </is>
      </c>
      <c r="F27" s="24" t="inlineStr">
        <is>
          <t>—</t>
        </is>
      </c>
      <c r="G27" s="24" t="inlineStr">
        <is>
          <t>—</t>
        </is>
      </c>
      <c r="H27" s="24" t="inlineStr">
        <is>
          <t>[설계] 화면이 그대로 노출한다 — "통상 적용 범위 · 사업장 허가증 확인 필요"를 빼면 확정 기준으로 읽힌다</t>
        </is>
      </c>
      <c r="I27" s="8" t="inlineStr">
        <is>
          <t>Y</t>
        </is>
      </c>
      <c r="J27" s="8" t="inlineStr">
        <is>
          <t>—</t>
        </is>
      </c>
      <c r="K27" s="8" t="inlineStr"/>
    </row>
    <row r="28" s="35">
      <c r="A28" s="24" t="inlineStr">
        <is>
          <t>REQ-AD-025</t>
        </is>
      </c>
      <c r="B28" s="24" t="inlineStr">
        <is>
          <t>SCR-OP-003</t>
        </is>
      </c>
      <c r="C28" s="24" t="inlineStr">
        <is>
          <t>배출허용기준</t>
        </is>
      </c>
      <c r="D28" s="24" t="inlineStr">
        <is>
          <t>기준 미확보 사유</t>
        </is>
      </c>
      <c r="E28" s="24" t="inlineStr">
        <is>
          <t>string | null</t>
        </is>
      </c>
      <c r="F28" s="24" t="inlineStr">
        <is>
          <t>—</t>
        </is>
      </c>
      <c r="G28" s="24" t="inlineStr">
        <is>
          <t>—</t>
        </is>
      </c>
      <c r="H28" s="24" t="inlineStr">
        <is>
          <t>[설계] null이면 판정 가능. 값이 있으면 화면이 초과 판정 대신 이 문구를 적는다</t>
        </is>
      </c>
      <c r="I28" s="8" t="inlineStr">
        <is>
          <t>Y</t>
        </is>
      </c>
      <c r="J28" s="8" t="inlineStr">
        <is>
          <t>—</t>
        </is>
      </c>
      <c r="K28" s="8" t="inlineStr"/>
    </row>
    <row r="29" s="35">
      <c r="A29" s="24" t="inlineStr">
        <is>
          <t>REQ-AD-025</t>
        </is>
      </c>
      <c r="B29" s="24" t="inlineStr">
        <is>
          <t>SCR-OP-003</t>
        </is>
      </c>
      <c r="C29" s="24" t="inlineStr">
        <is>
          <t>배출허용기준</t>
        </is>
      </c>
      <c r="D29" s="24" t="inlineStr">
        <is>
          <t>초과 건수</t>
        </is>
      </c>
      <c r="E29" s="24" t="inlineStr">
        <is>
          <t>number | null</t>
        </is>
      </c>
      <c r="F29" s="24" t="inlineStr">
        <is>
          <t>건</t>
        </is>
      </c>
      <c r="G29" s="24" t="inlineStr">
        <is>
          <t>[파생: 기준 밖 표본 수] — 경계값은 초과가 아니다(&lt;·&gt;) · 결측은 세지 않는다</t>
        </is>
      </c>
      <c r="H29" s="24" t="inlineStr">
        <is>
          <t>[설계] 기준이 없으면 0이 아니라 null — 0은 "확인했더니 없었다", null은 "판정할 수 없다"(E4)</t>
        </is>
      </c>
      <c r="I29" s="8" t="inlineStr">
        <is>
          <t>Y</t>
        </is>
      </c>
      <c r="J29" s="8" t="inlineStr">
        <is>
          <t>—</t>
        </is>
      </c>
      <c r="K29" s="8" t="inlineStr"/>
    </row>
    <row r="30" s="35">
      <c r="A30" s="24" t="inlineStr">
        <is>
          <t>REQ-AD-006</t>
        </is>
      </c>
      <c r="B30" s="24" t="inlineStr">
        <is>
          <t>SCR-OP-001·002</t>
        </is>
      </c>
      <c r="C30" s="24" t="inlineStr">
        <is>
          <t>이상 탐지</t>
        </is>
      </c>
      <c r="D30" s="24" t="inlineStr">
        <is>
          <t>측정 시각</t>
        </is>
      </c>
      <c r="E30" s="24" t="inlineStr">
        <is>
          <t>ISO8601</t>
        </is>
      </c>
      <c r="F30" s="24" t="inlineStr">
        <is>
          <t>KST</t>
        </is>
      </c>
      <c r="G30" s="24" t="inlineStr">
        <is>
          <t>—</t>
        </is>
      </c>
      <c r="H30" s="24" t="inlineStr">
        <is>
          <t>[설계] 계측과 같은 시간축</t>
        </is>
      </c>
      <c r="I30" s="8" t="inlineStr">
        <is>
          <t>Y</t>
        </is>
      </c>
      <c r="J30" s="8" t="inlineStr">
        <is>
          <t>—</t>
        </is>
      </c>
      <c r="K30" s="8" t="inlineStr"/>
    </row>
    <row r="31" s="35">
      <c r="A31" s="24" t="inlineStr">
        <is>
          <t>REQ-AD-006</t>
        </is>
      </c>
      <c r="B31" s="24" t="inlineStr">
        <is>
          <t>SCR-OP-001·002</t>
        </is>
      </c>
      <c r="C31" s="24" t="inlineStr">
        <is>
          <t>이상 탐지</t>
        </is>
      </c>
      <c r="D31" s="24" t="inlineStr">
        <is>
          <t>이상 점수(시계열)</t>
        </is>
      </c>
      <c r="E31" s="24" t="inlineStr">
        <is>
          <t>number | null</t>
        </is>
      </c>
      <c r="F31" s="24" t="inlineStr">
        <is>
          <t>점</t>
        </is>
      </c>
      <c r="G31" s="24" t="inlineStr">
        <is>
          <t>—</t>
        </is>
      </c>
      <c r="H31" s="24" t="inlineStr">
        <is>
          <t>[원문 p.64] 0~100</t>
        </is>
      </c>
      <c r="I31" s="8" t="inlineStr">
        <is>
          <t>Y</t>
        </is>
      </c>
      <c r="J31" s="8" t="inlineStr">
        <is>
          <t>—</t>
        </is>
      </c>
      <c r="K31" s="8" t="inlineStr"/>
    </row>
    <row r="32" s="35">
      <c r="A32" s="24" t="inlineStr">
        <is>
          <t>REQ-AD-006</t>
        </is>
      </c>
      <c r="B32" s="24" t="inlineStr">
        <is>
          <t>SCR-OP-002</t>
        </is>
      </c>
      <c r="C32" s="24" t="inlineStr">
        <is>
          <t>이상 탐지</t>
        </is>
      </c>
      <c r="D32" s="24" t="inlineStr">
        <is>
          <t>이상 점수(현재)</t>
        </is>
      </c>
      <c r="E32" s="24" t="inlineStr">
        <is>
          <t>number | null</t>
        </is>
      </c>
      <c r="F32" s="24" t="inlineStr">
        <is>
          <t>점</t>
        </is>
      </c>
      <c r="G32" s="24" t="inlineStr">
        <is>
          <t>—</t>
        </is>
      </c>
      <c r="H32" s="24" t="inlineStr">
        <is>
          <t>[원문 p.64]</t>
        </is>
      </c>
      <c r="I32" s="8" t="inlineStr">
        <is>
          <t>Y</t>
        </is>
      </c>
      <c r="J32" s="8" t="inlineStr">
        <is>
          <t>—</t>
        </is>
      </c>
      <c r="K32" s="8" t="inlineStr"/>
    </row>
    <row r="33" s="35">
      <c r="A33" s="24" t="inlineStr">
        <is>
          <t>REQ-AD-007</t>
        </is>
      </c>
      <c r="B33" s="24" t="inlineStr">
        <is>
          <t>SCR-OP-002</t>
        </is>
      </c>
      <c r="C33" s="24" t="inlineStr">
        <is>
          <t>이상 탐지</t>
        </is>
      </c>
      <c r="D33" s="24" t="inlineStr">
        <is>
          <t>상태 등급</t>
        </is>
      </c>
      <c r="E33" s="24" t="inlineStr">
        <is>
          <t>4등급 | null</t>
        </is>
      </c>
      <c r="F33" s="24" t="inlineStr">
        <is>
          <t>—</t>
        </is>
      </c>
      <c r="G33" s="24" t="inlineStr">
        <is>
          <t>[파생: 점수 구간 판정]</t>
        </is>
      </c>
      <c r="H33" s="24" t="inlineStr">
        <is>
          <t>[INC-01·03·04] [TBD-02]</t>
        </is>
      </c>
      <c r="I33" s="8" t="inlineStr">
        <is>
          <t>Y</t>
        </is>
      </c>
      <c r="J33" s="8" t="inlineStr">
        <is>
          <t>—</t>
        </is>
      </c>
      <c r="K33" s="8" t="inlineStr">
        <is>
          <t>TBD-02 원문 미확정 / INC-01 원문 모순 — 채택안은 출처 열에 적었다</t>
        </is>
      </c>
    </row>
    <row r="34" s="35">
      <c r="A34" s="24" t="inlineStr">
        <is>
          <t>REQ-AD-006</t>
        </is>
      </c>
      <c r="B34" s="24" t="inlineStr">
        <is>
          <t>SCR-OP-002</t>
        </is>
      </c>
      <c r="C34" s="24" t="inlineStr">
        <is>
          <t>이상 탐지</t>
        </is>
      </c>
      <c r="D34" s="24" t="inlineStr">
        <is>
          <t>통신 상태</t>
        </is>
      </c>
      <c r="E34" s="24" t="inlineStr">
        <is>
          <t>boolean</t>
        </is>
      </c>
      <c r="F34" s="24" t="inlineStr">
        <is>
          <t>—</t>
        </is>
      </c>
      <c r="G34" s="24" t="inlineStr">
        <is>
          <t>—</t>
        </is>
      </c>
      <c r="H34" s="24" t="inlineStr">
        <is>
          <t>[설계]</t>
        </is>
      </c>
      <c r="I34" s="8" t="inlineStr">
        <is>
          <t>N</t>
        </is>
      </c>
      <c r="J34" s="8" t="inlineStr">
        <is>
          <t>—</t>
        </is>
      </c>
      <c r="K34" s="8" t="inlineStr"/>
    </row>
    <row r="35" s="35">
      <c r="A35" s="24" t="inlineStr">
        <is>
          <t>REQ-AD-005</t>
        </is>
      </c>
      <c r="B35" s="24" t="inlineStr">
        <is>
          <t>SCR-OP-002</t>
        </is>
      </c>
      <c r="C35" s="24" t="inlineStr">
        <is>
          <t>이상 탐지</t>
        </is>
      </c>
      <c r="D35" s="24" t="inlineStr">
        <is>
          <t>산출 시각</t>
        </is>
      </c>
      <c r="E35" s="24" t="inlineStr">
        <is>
          <t>ISO8601</t>
        </is>
      </c>
      <c r="F35" s="24" t="inlineStr">
        <is>
          <t>KST</t>
        </is>
      </c>
      <c r="G35" s="24" t="inlineStr">
        <is>
          <t>—</t>
        </is>
      </c>
      <c r="H35" s="24" t="inlineStr">
        <is>
          <t>E3</t>
        </is>
      </c>
      <c r="I35" s="8" t="inlineStr">
        <is>
          <t>Y</t>
        </is>
      </c>
      <c r="J35" s="8" t="inlineStr">
        <is>
          <t>—</t>
        </is>
      </c>
      <c r="K35" s="8" t="inlineStr"/>
    </row>
    <row r="36" s="35">
      <c r="A36" s="24" t="inlineStr">
        <is>
          <t>REQ-AD-005</t>
        </is>
      </c>
      <c r="B36" s="24" t="inlineStr">
        <is>
          <t>SCR-OP-002</t>
        </is>
      </c>
      <c r="C36" s="24" t="inlineStr">
        <is>
          <t>이상 탐지</t>
        </is>
      </c>
      <c r="D36" s="24" t="inlineStr">
        <is>
          <t>대상 기간</t>
        </is>
      </c>
      <c r="E36" s="24" t="inlineStr">
        <is>
          <t>string</t>
        </is>
      </c>
      <c r="F36" s="24" t="inlineStr">
        <is>
          <t>—</t>
        </is>
      </c>
      <c r="G36" s="24" t="inlineStr">
        <is>
          <t>—</t>
        </is>
      </c>
      <c r="H36" s="24" t="inlineStr">
        <is>
          <t>E3</t>
        </is>
      </c>
      <c r="I36" s="8" t="inlineStr">
        <is>
          <t>Y</t>
        </is>
      </c>
      <c r="J36" s="8" t="inlineStr">
        <is>
          <t>—</t>
        </is>
      </c>
      <c r="K36" s="8" t="inlineStr"/>
    </row>
    <row r="37" s="35">
      <c r="A37" s="24" t="inlineStr">
        <is>
          <t>REQ-AD-005</t>
        </is>
      </c>
      <c r="B37" s="24" t="inlineStr">
        <is>
          <t>SCR-OP-002</t>
        </is>
      </c>
      <c r="C37" s="24" t="inlineStr">
        <is>
          <t>이상 탐지</t>
        </is>
      </c>
      <c r="D37" s="24" t="inlineStr">
        <is>
          <t>산출 모델</t>
        </is>
      </c>
      <c r="E37" s="24" t="inlineStr">
        <is>
          <t>string</t>
        </is>
      </c>
      <c r="F37" s="24" t="inlineStr">
        <is>
          <t>—</t>
        </is>
      </c>
      <c r="G37" s="24" t="inlineStr">
        <is>
          <t>—</t>
        </is>
      </c>
      <c r="H37" s="24" t="inlineStr">
        <is>
          <t>[원문 p.64] AutoEncoder</t>
        </is>
      </c>
      <c r="I37" s="8" t="inlineStr">
        <is>
          <t>Y</t>
        </is>
      </c>
      <c r="J37" s="8" t="inlineStr">
        <is>
          <t>—</t>
        </is>
      </c>
      <c r="K37" s="8" t="inlineStr"/>
    </row>
    <row r="38" s="35">
      <c r="A38" s="24" t="inlineStr">
        <is>
          <t>REQ-AD-008</t>
        </is>
      </c>
      <c r="B38" s="24" t="inlineStr">
        <is>
          <t>SCR-OP-002</t>
        </is>
      </c>
      <c r="C38" s="24" t="inlineStr">
        <is>
          <t>이상 탐지</t>
        </is>
      </c>
      <c r="D38" s="24" t="inlineStr">
        <is>
          <t>기여 변수명</t>
        </is>
      </c>
      <c r="E38" s="24" t="inlineStr">
        <is>
          <t>string</t>
        </is>
      </c>
      <c r="F38" s="24" t="inlineStr">
        <is>
          <t>—</t>
        </is>
      </c>
      <c r="G38" s="24" t="inlineStr">
        <is>
          <t>—</t>
        </is>
      </c>
      <c r="H38" s="24" t="inlineStr">
        <is>
          <t>[원문 p.64] Feature Attribution</t>
        </is>
      </c>
      <c r="I38" s="8" t="inlineStr">
        <is>
          <t>Y</t>
        </is>
      </c>
      <c r="J38" s="8" t="inlineStr">
        <is>
          <t>—</t>
        </is>
      </c>
      <c r="K38" s="8" t="inlineStr"/>
    </row>
    <row r="39" s="35">
      <c r="A39" s="24" t="inlineStr">
        <is>
          <t>REQ-AD-008</t>
        </is>
      </c>
      <c r="B39" s="24" t="inlineStr">
        <is>
          <t>SCR-OP-002</t>
        </is>
      </c>
      <c r="C39" s="24" t="inlineStr">
        <is>
          <t>이상 탐지</t>
        </is>
      </c>
      <c r="D39" s="24" t="inlineStr">
        <is>
          <t>기여도</t>
        </is>
      </c>
      <c r="E39" s="24" t="inlineStr">
        <is>
          <t>number</t>
        </is>
      </c>
      <c r="F39" s="24" t="inlineStr">
        <is>
          <t>0~1</t>
        </is>
      </c>
      <c r="G39" s="24" t="inlineStr">
        <is>
          <t>[파생: × 100 → %로 표시]</t>
        </is>
      </c>
      <c r="H39" s="24" t="inlineStr">
        <is>
          <t>[원문 p.64] · 표시 자릿수 0 [PROVISIONAL]</t>
        </is>
      </c>
      <c r="I39" s="8" t="inlineStr">
        <is>
          <t>Y</t>
        </is>
      </c>
      <c r="J39" s="8" t="inlineStr">
        <is>
          <t>—</t>
        </is>
      </c>
      <c r="K39" s="8" t="inlineStr">
        <is>
          <t>임시값 — 확정 시 src/shared/config/provisional.ts 한 파일을 교체한다</t>
        </is>
      </c>
    </row>
    <row r="40" s="35">
      <c r="A40" s="24" t="inlineStr">
        <is>
          <t>REQ-AD-008</t>
        </is>
      </c>
      <c r="B40" s="24" t="inlineStr">
        <is>
          <t>SCR-OP-002</t>
        </is>
      </c>
      <c r="C40" s="24" t="inlineStr">
        <is>
          <t>이상 탐지</t>
        </is>
      </c>
      <c r="D40" s="24" t="inlineStr">
        <is>
          <t>기여 방향</t>
        </is>
      </c>
      <c r="E40" s="24" t="inlineStr">
        <is>
          <t>up|down</t>
        </is>
      </c>
      <c r="F40" s="24" t="inlineStr">
        <is>
          <t>—</t>
        </is>
      </c>
      <c r="G40" s="24" t="inlineStr">
        <is>
          <t>—</t>
        </is>
      </c>
      <c r="H40" s="24" t="inlineStr">
        <is>
          <t>[설계] 상승/하강 기여 구분</t>
        </is>
      </c>
      <c r="I40" s="8" t="inlineStr">
        <is>
          <t>Y</t>
        </is>
      </c>
      <c r="J40" s="8" t="inlineStr">
        <is>
          <t>—</t>
        </is>
      </c>
      <c r="K40" s="8" t="inlineStr"/>
    </row>
    <row r="41" s="35">
      <c r="A41" s="24" t="inlineStr">
        <is>
          <t>REQ-AD-032</t>
        </is>
      </c>
      <c r="B41" s="24" t="inlineStr">
        <is>
          <t>SCR-OP-002</t>
        </is>
      </c>
      <c r="C41" s="24" t="inlineStr">
        <is>
          <t>방지시설 미가동 방류 의심</t>
        </is>
      </c>
      <c r="D41" s="24" t="inlineStr">
        <is>
          <t>의심 구간 시작·종료</t>
        </is>
      </c>
      <c r="E41" s="24" t="inlineStr">
        <is>
          <t>ISO8601</t>
        </is>
      </c>
      <c r="F41" s="24" t="inlineStr">
        <is>
          <t>KST</t>
        </is>
      </c>
      <c r="G41" s="24" t="inlineStr">
        <is>
          <t>[파생: 방류=true ∧ 방지시설 미가동=true 인 연속 표본]</t>
        </is>
      </c>
      <c r="H41" s="24" t="inlineStr">
        <is>
          <t>[원문 발표 p.13]</t>
        </is>
      </c>
      <c r="I41" s="8" t="inlineStr">
        <is>
          <t>Y</t>
        </is>
      </c>
      <c r="J41" s="8" t="inlineStr">
        <is>
          <t>—</t>
        </is>
      </c>
      <c r="K41" s="8" t="inlineStr"/>
    </row>
    <row r="42" s="35">
      <c r="A42" s="24" t="inlineStr">
        <is>
          <t>REQ-AD-032</t>
        </is>
      </c>
      <c r="B42" s="24" t="inlineStr">
        <is>
          <t>SCR-OP-002</t>
        </is>
      </c>
      <c r="C42" s="24" t="inlineStr">
        <is>
          <t>방지시설 미가동 방류 의심</t>
        </is>
      </c>
      <c r="D42" s="24" t="inlineStr">
        <is>
          <t>지속 표본 수</t>
        </is>
      </c>
      <c r="E42" s="24" t="inlineStr">
        <is>
          <t>number</t>
        </is>
      </c>
      <c r="F42" s="24" t="inlineStr">
        <is>
          <t>표본</t>
        </is>
      </c>
      <c r="G42" s="24" t="inlineStr">
        <is>
          <t>[파생: 구간 길이] · 화면이 5분 주기로 시간 환산</t>
        </is>
      </c>
      <c r="H42" s="24" t="inlineStr">
        <is>
          <t>[설계]</t>
        </is>
      </c>
      <c r="I42" s="8" t="inlineStr">
        <is>
          <t>Y</t>
        </is>
      </c>
      <c r="J42" s="8" t="inlineStr">
        <is>
          <t>—</t>
        </is>
      </c>
      <c r="K42" s="8" t="inlineStr"/>
    </row>
    <row r="43" s="35">
      <c r="A43" s="24" t="inlineStr">
        <is>
          <t>REQ-AD-032</t>
        </is>
      </c>
      <c r="B43" s="24" t="inlineStr">
        <is>
          <t>SCR-OP-002</t>
        </is>
      </c>
      <c r="C43" s="24" t="inlineStr">
        <is>
          <t>방지시설 미가동 방류 의심</t>
        </is>
      </c>
      <c r="D43" s="24" t="inlineStr">
        <is>
          <t>최소 지속 시간</t>
        </is>
      </c>
      <c r="E43" s="24" t="inlineStr">
        <is>
          <t>number</t>
        </is>
      </c>
      <c r="F43" s="24" t="inlineStr">
        <is>
          <t>표본</t>
        </is>
      </c>
      <c r="G43" s="24" t="inlineStr">
        <is>
          <t>—</t>
        </is>
      </c>
      <c r="H43" s="24" t="inlineStr">
        <is>
          <t>[PROVISIONAL] 12표본(1시간) · 원문에 없다 [TBD-46]. 실증 데이터가 시간 단위 집계라 그보다 짧은 판정은 원본으로 검증할 수 없다</t>
        </is>
      </c>
      <c r="I43" s="8" t="inlineStr">
        <is>
          <t>N</t>
        </is>
      </c>
      <c r="J43" s="8" t="inlineStr">
        <is>
          <t>—</t>
        </is>
      </c>
      <c r="K43" s="8" t="inlineStr">
        <is>
          <t>임시값 — 확정 시 src/shared/config/provisional.ts 한 파일을 교체한다 / TBD-46 원문 미확정</t>
        </is>
      </c>
    </row>
    <row r="44" s="35">
      <c r="A44" s="24" t="inlineStr">
        <is>
          <t>REQ-AD-032</t>
        </is>
      </c>
      <c r="B44" s="24" t="inlineStr">
        <is>
          <t>SCR-OP-002</t>
        </is>
      </c>
      <c r="C44" s="24" t="inlineStr">
        <is>
          <t>방지시설 미가동 방류 의심</t>
        </is>
      </c>
      <c r="D44" s="24" t="inlineStr">
        <is>
          <t>방지시설 가동 여부</t>
        </is>
      </c>
      <c r="E44" s="24" t="inlineStr">
        <is>
          <t>boolean | null</t>
        </is>
      </c>
      <c r="F44" s="24" t="inlineStr">
        <is>
          <t>—</t>
        </is>
      </c>
      <c r="G44" s="24" t="inlineStr">
        <is>
          <t>[파생: 시나리오 구간] — 계측 fixture가 같은 구간의 전류·전력을 0으로 만든다</t>
        </is>
      </c>
      <c r="H44" s="24" t="inlineStr">
        <is>
          <t>[데이터셋 Non_TMS_sites/04] 전류계 위치=유입펌프</t>
        </is>
      </c>
      <c r="I44" s="8" t="inlineStr">
        <is>
          <t>Y</t>
        </is>
      </c>
      <c r="J44" s="8" t="inlineStr">
        <is>
          <t>—</t>
        </is>
      </c>
      <c r="K44" s="8" t="inlineStr"/>
    </row>
    <row r="45" s="35">
      <c r="A45" s="24" t="inlineStr">
        <is>
          <t>REQ-AD-032</t>
        </is>
      </c>
      <c r="B45" s="24" t="inlineStr">
        <is>
          <t>SCR-OP-002</t>
        </is>
      </c>
      <c r="C45" s="24" t="inlineStr">
        <is>
          <t>방지시설 미가동 방류 의심</t>
        </is>
      </c>
      <c r="D45" s="24" t="inlineStr">
        <is>
          <t>판정 가능 여부</t>
        </is>
      </c>
      <c r="E45" s="24" t="inlineStr">
        <is>
          <t>boolean</t>
        </is>
      </c>
      <c r="F45" s="24" t="inlineStr">
        <is>
          <t>—</t>
        </is>
      </c>
      <c r="G45" s="24" t="inlineStr">
        <is>
          <t>[파생: 판정 가능한 표본이 하나라도 있는가]</t>
        </is>
      </c>
      <c r="H45" s="24" t="inlineStr">
        <is>
          <t>[설계] 전 구간 결측이면 0건이 아니라 모름(E4)</t>
        </is>
      </c>
      <c r="I45" s="8" t="inlineStr">
        <is>
          <t>Y</t>
        </is>
      </c>
      <c r="J45" s="8" t="inlineStr">
        <is>
          <t>—</t>
        </is>
      </c>
      <c r="K45" s="8" t="inlineStr"/>
    </row>
    <row r="46" s="35">
      <c r="A46" s="24" t="inlineStr">
        <is>
          <t>REQ-AD-010</t>
        </is>
      </c>
      <c r="B46" s="24" t="inlineStr">
        <is>
          <t>SCR-OP-004</t>
        </is>
      </c>
      <c r="C46" s="24" t="inlineStr">
        <is>
          <t>예측</t>
        </is>
      </c>
      <c r="D46" s="24" t="inlineStr">
        <is>
          <t>시각</t>
        </is>
      </c>
      <c r="E46" s="24" t="inlineStr">
        <is>
          <t>ISO8601</t>
        </is>
      </c>
      <c r="F46" s="24" t="inlineStr">
        <is>
          <t>KST</t>
        </is>
      </c>
      <c r="G46" s="24" t="inlineStr">
        <is>
          <t>—</t>
        </is>
      </c>
      <c r="H46" s="24" t="inlineStr">
        <is>
          <t>[설계] 관측 구간 6시간의 시각 · 수집 주기 5분이라 72점 [원문 p.55]</t>
        </is>
      </c>
      <c r="I46" s="8" t="inlineStr">
        <is>
          <t>Y</t>
        </is>
      </c>
      <c r="J46" s="8" t="inlineStr">
        <is>
          <t>차트 x축 · 툴팁</t>
        </is>
      </c>
      <c r="K46" s="8" t="inlineStr"/>
    </row>
    <row r="47" s="35">
      <c r="A47" s="24" t="inlineStr">
        <is>
          <t>REQ-AD-010</t>
        </is>
      </c>
      <c r="B47" s="24" t="inlineStr">
        <is>
          <t>SCR-OP-004</t>
        </is>
      </c>
      <c r="C47" s="24" t="inlineStr">
        <is>
          <t>예측</t>
        </is>
      </c>
      <c r="D47" s="24" t="inlineStr">
        <is>
          <t>계열 값</t>
        </is>
      </c>
      <c r="E47" s="24" t="inlineStr">
        <is>
          <t>number | null</t>
        </is>
      </c>
      <c r="F47" s="24" t="inlineStr">
        <is>
          <t>mg/L</t>
        </is>
      </c>
      <c r="G47" s="24" t="inlineStr">
        <is>
          <t>—</t>
        </is>
      </c>
      <c r="H47" s="24" t="inlineStr">
        <is>
          <t>[설계] 그 시각의 값. null은 결측이며 0으로 채우지 않는다(E4)</t>
        </is>
      </c>
      <c r="I47" s="8" t="inlineStr">
        <is>
          <t>Y</t>
        </is>
      </c>
      <c r="J47" s="8" t="inlineStr">
        <is>
          <t>계열 선</t>
        </is>
      </c>
      <c r="K47" s="8" t="inlineStr"/>
    </row>
    <row r="48" s="35">
      <c r="A48" s="24" t="inlineStr">
        <is>
          <t>REQ-AD-010</t>
        </is>
      </c>
      <c r="B48" s="24" t="inlineStr">
        <is>
          <t>SCR-OP-004</t>
        </is>
      </c>
      <c r="C48" s="24" t="inlineStr">
        <is>
          <t>예측</t>
        </is>
      </c>
      <c r="D48" s="24" t="inlineStr">
        <is>
          <t>값의 출처</t>
        </is>
      </c>
      <c r="E48" s="24" t="inlineStr">
        <is>
          <t>measured|softSensed</t>
        </is>
      </c>
      <c r="F48" s="24" t="inlineStr">
        <is>
          <t>—</t>
        </is>
      </c>
      <c r="G48" s="24" t="inlineStr">
        <is>
          <t>—</t>
        </is>
      </c>
      <c r="H48" s="24" t="inlineStr">
        <is>
          <t>TOC·유량은 직접 계측 [원문 p.55] · TN·TP는 소프트 센싱 [원문 발표 p.17] [회의 2026-08-20] · 한 화면에서 둘이 섞이면 추정이 계측으로 읽힌다(E3)</t>
        </is>
      </c>
      <c r="I48" s="8" t="inlineStr">
        <is>
          <t>Y</t>
        </is>
      </c>
      <c r="J48" s="8" t="inlineStr">
        <is>
          <t>계열 색 · 범례 · 근거 줄</t>
        </is>
      </c>
      <c r="K48" s="8" t="inlineStr"/>
    </row>
    <row r="49" s="35">
      <c r="A49" s="24" t="inlineStr">
        <is>
          <t>REQ-AD-010</t>
        </is>
      </c>
      <c r="B49" s="24" t="inlineStr">
        <is>
          <t>SCR-OP-004</t>
        </is>
      </c>
      <c r="C49" s="24" t="inlineStr">
        <is>
          <t>예측</t>
        </is>
      </c>
      <c r="D49" s="24" t="inlineStr">
        <is>
          <t>최근 6시간 최대</t>
        </is>
      </c>
      <c r="E49" s="24" t="inlineStr">
        <is>
          <t>number | null</t>
        </is>
      </c>
      <c r="F49" s="24" t="inlineStr">
        <is>
          <t>항목 단위</t>
        </is>
      </c>
      <c r="G49" s="24" t="inlineStr">
        <is>
          <t>[파생: 관측 구간 최대]</t>
        </is>
      </c>
      <c r="H49" s="24" t="inlineStr">
        <is>
          <t>[원문 발표 p.16 그림]이 차트 아래에 최대 예측값 62.4 NTU를 함께 낸다 · 예측이 아니라 관측 구간의 최대다 [INC-109] — 예측 구간을 내렸으므로 이름도 바뀌었다 · 값이 없으면 null(E4)</t>
        </is>
      </c>
      <c r="I49" s="8" t="inlineStr">
        <is>
          <t>Y</t>
        </is>
      </c>
      <c r="J49" s="8" t="inlineStr">
        <is>
          <t>산출 근거</t>
        </is>
      </c>
      <c r="K49" s="8" t="inlineStr">
        <is>
          <t>INC-109 원문 모순 — 채택안은 출처 열에 적었다</t>
        </is>
      </c>
    </row>
    <row r="50" s="35">
      <c r="A50" s="24" t="inlineStr">
        <is>
          <t>REQ-AD-010</t>
        </is>
      </c>
      <c r="B50" s="24" t="inlineStr">
        <is>
          <t>SCR-OP-004</t>
        </is>
      </c>
      <c r="C50" s="24" t="inlineStr">
        <is>
          <t>예측</t>
        </is>
      </c>
      <c r="D50" s="24" t="inlineStr">
        <is>
          <t>유량 예측 계열</t>
        </is>
      </c>
      <c r="E50" s="24" t="inlineStr">
        <is>
          <t>ForecastPoint[]</t>
        </is>
      </c>
      <c r="F50" s="24" t="inlineStr">
        <is>
          <t>m³/day</t>
        </is>
      </c>
      <c r="G50" s="24" t="inlineStr">
        <is>
          <t>오염도와 같은 생성 규약</t>
        </is>
      </c>
      <c r="H50" s="24" t="inlineStr">
        <is>
          <t>[원문 발표 p.11 그림] "1~6시간 후 유량 변화 예측" [INC-95 판정] · R²는 표시하지 않는다 — 성능 목표가 수질 예측뿐이다 [원문 발표 p.26]</t>
        </is>
      </c>
      <c r="I50" s="8" t="inlineStr">
        <is>
          <t>Y</t>
        </is>
      </c>
      <c r="J50" s="8" t="inlineStr">
        <is>
          <t>—</t>
        </is>
      </c>
      <c r="K50" s="8" t="inlineStr">
        <is>
          <t>INC-95 원문 모순 — 채택안은 출처 열에 적었다</t>
        </is>
      </c>
    </row>
    <row r="51" s="35">
      <c r="A51" s="24" t="inlineStr">
        <is>
          <t>REQ-AD-014</t>
        </is>
      </c>
      <c r="B51" s="24" t="inlineStr">
        <is>
          <t>SCR-OP-004</t>
        </is>
      </c>
      <c r="C51" s="24" t="inlineStr">
        <is>
          <t>예측</t>
        </is>
      </c>
      <c r="D51" s="24" t="inlineStr">
        <is>
          <t>대상 항목 코드</t>
        </is>
      </c>
      <c r="E51" s="24" t="inlineStr">
        <is>
          <t>TOC|TN|TP|flow</t>
        </is>
      </c>
      <c r="F51" s="24" t="inlineStr">
        <is>
          <t>—</t>
        </is>
      </c>
      <c r="G51" s="24" t="inlineStr">
        <is>
          <t>—</t>
        </is>
      </c>
      <c r="H51" s="24" t="inlineStr">
        <is>
          <t>[원문 p.68] + 유량 [INC-95 판정] · 요약이 코드를 함께 낸다 — 소비처가 표시명을 잘라 코드를 되찾지 않게(기준값 조회·3단 차트가 쓴다)</t>
        </is>
      </c>
      <c r="I51" s="8" t="inlineStr">
        <is>
          <t>N</t>
        </is>
      </c>
      <c r="J51" s="8" t="inlineStr">
        <is>
          <t>—</t>
        </is>
      </c>
      <c r="K51" s="8" t="inlineStr">
        <is>
          <t>INC-95 원문 모순 — 채택안은 출처 열에 적었다</t>
        </is>
      </c>
    </row>
    <row r="52" s="35">
      <c r="A52" s="24" t="inlineStr">
        <is>
          <t>REQ-AD-014</t>
        </is>
      </c>
      <c r="B52" s="24" t="inlineStr">
        <is>
          <t>SCR-OP-004</t>
        </is>
      </c>
      <c r="C52" s="24" t="inlineStr">
        <is>
          <t>예측</t>
        </is>
      </c>
      <c r="D52" s="24" t="inlineStr">
        <is>
          <t>대상 항목명</t>
        </is>
      </c>
      <c r="E52" s="24" t="inlineStr">
        <is>
          <t>string</t>
        </is>
      </c>
      <c r="F52" s="24" t="inlineStr">
        <is>
          <t>—</t>
        </is>
      </c>
      <c r="G52" s="24" t="inlineStr">
        <is>
          <t>—</t>
        </is>
      </c>
      <c r="H52" s="24" t="inlineStr">
        <is>
          <t>[원문 p.68] TOC/TN/TP</t>
        </is>
      </c>
      <c r="I52" s="8" t="inlineStr">
        <is>
          <t>Y</t>
        </is>
      </c>
      <c r="J52" s="8" t="inlineStr">
        <is>
          <t>—</t>
        </is>
      </c>
      <c r="K52" s="8" t="inlineStr"/>
    </row>
    <row r="53" s="35">
      <c r="A53" s="24" t="inlineStr">
        <is>
          <t>REQ-AD-014</t>
        </is>
      </c>
      <c r="B53" s="24" t="inlineStr">
        <is>
          <t>SCR-OP-004</t>
        </is>
      </c>
      <c r="C53" s="24" t="inlineStr">
        <is>
          <t>예측</t>
        </is>
      </c>
      <c r="D53" s="24" t="inlineStr">
        <is>
          <t>단위</t>
        </is>
      </c>
      <c r="E53" s="24" t="inlineStr">
        <is>
          <t>string</t>
        </is>
      </c>
      <c r="F53" s="24" t="inlineStr">
        <is>
          <t>mg/L</t>
        </is>
      </c>
      <c r="G53" s="24" t="inlineStr">
        <is>
          <t>—</t>
        </is>
      </c>
      <c r="H53" s="24" t="inlineStr">
        <is>
          <t>[원문 p.68]</t>
        </is>
      </c>
      <c r="I53" s="8" t="inlineStr">
        <is>
          <t>Y</t>
        </is>
      </c>
      <c r="J53" s="8" t="inlineStr">
        <is>
          <t>—</t>
        </is>
      </c>
      <c r="K53" s="8" t="inlineStr"/>
    </row>
    <row r="54" s="35">
      <c r="A54" s="24" t="inlineStr">
        <is>
          <t>REQ-AD-014</t>
        </is>
      </c>
      <c r="B54" s="24" t="inlineStr">
        <is>
          <t>SCR-OP-004</t>
        </is>
      </c>
      <c r="C54" s="24" t="inlineStr">
        <is>
          <t>예측</t>
        </is>
      </c>
      <c r="D54" s="24" t="inlineStr">
        <is>
          <t>대상 항목 코드·명</t>
        </is>
      </c>
      <c r="E54" s="24" t="inlineStr">
        <is>
          <t>string</t>
        </is>
      </c>
      <c r="F54" s="24" t="inlineStr">
        <is>
          <t>—</t>
        </is>
      </c>
      <c r="G54" s="24" t="inlineStr">
        <is>
          <t>—</t>
        </is>
      </c>
      <c r="H54" s="24" t="inlineStr">
        <is>
          <t>[원문 p.68] TOC/TN/TP · 경향 카드 3개의 식별</t>
        </is>
      </c>
      <c r="I54" s="8" t="inlineStr">
        <is>
          <t>Y</t>
        </is>
      </c>
      <c r="J54" s="8" t="inlineStr">
        <is>
          <t>—</t>
        </is>
      </c>
      <c r="K54" s="8" t="inlineStr"/>
    </row>
    <row r="55" s="35">
      <c r="A55" s="24" t="inlineStr">
        <is>
          <t>REQ-AD-014</t>
        </is>
      </c>
      <c r="B55" s="24" t="inlineStr">
        <is>
          <t>SCR-OP-004</t>
        </is>
      </c>
      <c r="C55" s="24" t="inlineStr">
        <is>
          <t>예측</t>
        </is>
      </c>
      <c r="D55" s="24" t="inlineStr">
        <is>
          <t>표시 자릿수</t>
        </is>
      </c>
      <c r="E55" s="24" t="inlineStr">
        <is>
          <t>number</t>
        </is>
      </c>
      <c r="F55" s="24" t="inlineStr">
        <is>
          <t>자리</t>
        </is>
      </c>
      <c r="G55" s="24" t="inlineStr">
        <is>
          <t>—</t>
        </is>
      </c>
      <c r="H55" s="24" t="inlineStr">
        <is>
          <t>[PROVISIONAL] TOC·TN 1 · TP 2. 요약과 경향 카드가 각각 값과 함께 낸다 — 위젯이 임의로 반올림하거나 프로파일을 되찾아 오지 못하게(E1)</t>
        </is>
      </c>
      <c r="I55" s="8" t="inlineStr">
        <is>
          <t>N</t>
        </is>
      </c>
      <c r="J55" s="8" t="inlineStr">
        <is>
          <t>—</t>
        </is>
      </c>
      <c r="K55" s="8" t="inlineStr">
        <is>
          <t>임시값 — 확정 시 src/shared/config/provisional.ts 한 파일을 교체한다</t>
        </is>
      </c>
    </row>
    <row r="56" s="35">
      <c r="A56" s="24" t="inlineStr">
        <is>
          <t>REQ-AD-010</t>
        </is>
      </c>
      <c r="B56" s="24" t="inlineStr">
        <is>
          <t>SCR-OP-004</t>
        </is>
      </c>
      <c r="C56" s="24" t="inlineStr">
        <is>
          <t>예측</t>
        </is>
      </c>
      <c r="D56" s="24" t="inlineStr">
        <is>
          <t>통신 상태</t>
        </is>
      </c>
      <c r="E56" s="24" t="inlineStr">
        <is>
          <t>boolean</t>
        </is>
      </c>
      <c r="F56" s="24" t="inlineStr">
        <is>
          <t>—</t>
        </is>
      </c>
      <c r="G56" s="24" t="inlineStr">
        <is>
          <t>—</t>
        </is>
      </c>
      <c r="H56" s="24" t="inlineStr">
        <is>
          <t>[설계] 두절이면 추정도 산출되지 않는다 — 값이 전부 null이다</t>
        </is>
      </c>
      <c r="I56" s="8" t="inlineStr">
        <is>
          <t>N</t>
        </is>
      </c>
      <c r="J56" s="8" t="inlineStr">
        <is>
          <t>빈 상태 문구</t>
        </is>
      </c>
      <c r="K56" s="8" t="inlineStr"/>
    </row>
    <row r="57" s="35">
      <c r="A57" s="24" t="inlineStr">
        <is>
          <t>REQ-AD-005</t>
        </is>
      </c>
      <c r="B57" s="24" t="inlineStr">
        <is>
          <t>SCR-OP-004</t>
        </is>
      </c>
      <c r="C57" s="24" t="inlineStr">
        <is>
          <t>예측</t>
        </is>
      </c>
      <c r="D57" s="24" t="inlineStr">
        <is>
          <t>산출 시각</t>
        </is>
      </c>
      <c r="E57" s="24" t="inlineStr">
        <is>
          <t>ISO8601</t>
        </is>
      </c>
      <c r="F57" s="24" t="inlineStr">
        <is>
          <t>KST</t>
        </is>
      </c>
      <c r="G57" s="24" t="inlineStr">
        <is>
          <t>—</t>
        </is>
      </c>
      <c r="H57" s="24" t="inlineStr">
        <is>
          <t>E3</t>
        </is>
      </c>
      <c r="I57" s="8" t="inlineStr">
        <is>
          <t>Y</t>
        </is>
      </c>
      <c r="J57" s="8" t="inlineStr">
        <is>
          <t>—</t>
        </is>
      </c>
      <c r="K57" s="8" t="inlineStr"/>
    </row>
    <row r="58" s="35">
      <c r="A58" s="24" t="inlineStr">
        <is>
          <t>REQ-AD-005</t>
        </is>
      </c>
      <c r="B58" s="24" t="inlineStr">
        <is>
          <t>SCR-OP-004</t>
        </is>
      </c>
      <c r="C58" s="24" t="inlineStr">
        <is>
          <t>예측</t>
        </is>
      </c>
      <c r="D58" s="24" t="inlineStr">
        <is>
          <t>입력 대상 기간</t>
        </is>
      </c>
      <c r="E58" s="24" t="inlineStr">
        <is>
          <t>string</t>
        </is>
      </c>
      <c r="F58" s="24" t="inlineStr">
        <is>
          <t>—</t>
        </is>
      </c>
      <c r="G58" s="24" t="inlineStr">
        <is>
          <t>—</t>
        </is>
      </c>
      <c r="H58" s="24" t="inlineStr">
        <is>
          <t>[원문 p.65] 과거 24시간 다변량 시계열 E3</t>
        </is>
      </c>
      <c r="I58" s="8" t="inlineStr">
        <is>
          <t>Y</t>
        </is>
      </c>
      <c r="J58" s="8" t="inlineStr">
        <is>
          <t>—</t>
        </is>
      </c>
      <c r="K58" s="8" t="inlineStr"/>
    </row>
    <row r="59" s="35">
      <c r="A59" s="24" t="inlineStr">
        <is>
          <t>REQ-AD-005</t>
        </is>
      </c>
      <c r="B59" s="24" t="inlineStr">
        <is>
          <t>SCR-OP-004</t>
        </is>
      </c>
      <c r="C59" s="24" t="inlineStr">
        <is>
          <t>예측</t>
        </is>
      </c>
      <c r="D59" s="24" t="inlineStr">
        <is>
          <t>산출 모델</t>
        </is>
      </c>
      <c r="E59" s="24" t="inlineStr">
        <is>
          <t>string</t>
        </is>
      </c>
      <c r="F59" s="24" t="inlineStr">
        <is>
          <t>—</t>
        </is>
      </c>
      <c r="G59" s="24" t="inlineStr">
        <is>
          <t>—</t>
        </is>
      </c>
      <c r="H59" s="24" t="inlineStr">
        <is>
          <t>[원문 p.65·66] E3</t>
        </is>
      </c>
      <c r="I59" s="8" t="inlineStr">
        <is>
          <t>Y</t>
        </is>
      </c>
      <c r="J59" s="8" t="inlineStr">
        <is>
          <t>—</t>
        </is>
      </c>
      <c r="K59" s="8" t="inlineStr"/>
    </row>
    <row r="60" s="35">
      <c r="A60" s="24" t="inlineStr">
        <is>
          <t>REQ-AD-011</t>
        </is>
      </c>
      <c r="B60" s="24" t="inlineStr">
        <is>
          <t>SCR-OP-004</t>
        </is>
      </c>
      <c r="C60" s="24" t="inlineStr">
        <is>
          <t>예측</t>
        </is>
      </c>
      <c r="D60" s="24" t="inlineStr">
        <is>
          <t>경향</t>
        </is>
      </c>
      <c r="E60" s="24" t="inlineStr">
        <is>
          <t>rising|steady|falling | null</t>
        </is>
      </c>
      <c r="F60" s="24" t="inlineStr">
        <is>
          <t>—</t>
        </is>
      </c>
      <c r="G60" s="24" t="inlineStr">
        <is>
          <t>[파생: 계열 앞뒤 절반의 평균 차이 &gt; 항목 진폭 × 0.5]</t>
        </is>
      </c>
      <c r="H60" s="24" t="inlineStr">
        <is>
          <t>[원문 발표 p.17] 상승/유지/하락 [INC-05] · null은 판정하지 않았다는 뜻이다 — 표본이 4점 미만이면 방향을 낼 수 없다. 예전에는 시나리오 세기로 정해 차트가 내려가는데 카드가 상승이라 말할 수 있었다(E4)</t>
        </is>
      </c>
      <c r="I60" s="8" t="inlineStr">
        <is>
          <t>Y</t>
        </is>
      </c>
      <c r="J60" s="8" t="inlineStr">
        <is>
          <t>경향 칩 — null이면 칩이 없다</t>
        </is>
      </c>
      <c r="K60" s="8" t="inlineStr">
        <is>
          <t>INC-05 원문 모순 — 채택안은 출처 열에 적었다</t>
        </is>
      </c>
    </row>
    <row r="61" s="35">
      <c r="A61" s="24" t="inlineStr">
        <is>
          <t>REQ-AD-011</t>
        </is>
      </c>
      <c r="B61" s="24" t="inlineStr">
        <is>
          <t>SCR-OP-004</t>
        </is>
      </c>
      <c r="C61" s="24" t="inlineStr">
        <is>
          <t>예측</t>
        </is>
      </c>
      <c r="D61" s="24" t="inlineStr">
        <is>
          <t>경향 값</t>
        </is>
      </c>
      <c r="E61" s="24" t="inlineStr">
        <is>
          <t>number | null</t>
        </is>
      </c>
      <c r="F61" s="24" t="inlineStr">
        <is>
          <t>mg/L</t>
        </is>
      </c>
      <c r="G61" s="24" t="inlineStr">
        <is>
          <t>[파생: 계열 마지막 값]</t>
        </is>
      </c>
      <c r="H61" s="24" t="inlineStr">
        <is>
          <t>[설계] 차트와 카드를 일치시키려고 · 통신 두절이면 null(산출 중단, 0으로 채우지 않는다 E4)</t>
        </is>
      </c>
      <c r="I61" s="8" t="inlineStr">
        <is>
          <t>N</t>
        </is>
      </c>
      <c r="J61" s="8" t="inlineStr">
        <is>
          <t>화면에 숫자로 내지 않는다 [회의 2026-08-20] — 소프트 센싱은 절대값 정확도를 맞추기 어려워 기준 대비만 낸다. 기준 판정의 입력으로만 쓴다</t>
        </is>
      </c>
      <c r="K61" s="8" t="inlineStr"/>
    </row>
    <row r="62" s="35">
      <c r="A62" s="24" t="inlineStr">
        <is>
          <t>REQ-AD-025</t>
        </is>
      </c>
      <c r="B62" s="24" t="inlineStr">
        <is>
          <t>SCR-OP-004</t>
        </is>
      </c>
      <c r="C62" s="24" t="inlineStr">
        <is>
          <t>예측</t>
        </is>
      </c>
      <c r="D62" s="24" t="inlineStr">
        <is>
          <t>판정 문구</t>
        </is>
      </c>
      <c r="E62" s="24" t="inlineStr">
        <is>
          <t>string</t>
        </is>
      </c>
      <c r="F62" s="24" t="inlineStr">
        <is>
          <t>—</t>
        </is>
      </c>
      <c r="G62" s="24" t="inlineStr">
        <is>
          <t>[파생: 값 없음 &gt; 기준 판정 &gt; 기준 미설정]</t>
        </is>
      </c>
      <c r="H62" s="24" t="inlineStr">
        <is>
          <t>[설계] 축은 기준치 하나다 [사용자 지적 2026-08-21] — 시간·분포 대비를 판정 자리에 놓으면 화면이 묻지 않은 것을 답한다. 값 없음을 가장 먼저 본다 — isOverLimit이 "값이 없다"와 "기준이 없다"를 같은 null로 내므로 순서가 뒤집히면 통신 두절 사업장이 기준 판정을 주장한다 · 세 화면(오염도 추정·통합 관제·리포트)이 같은 함수를 쓴다</t>
        </is>
      </c>
      <c r="I62" s="8" t="inlineStr">
        <is>
          <t>Y</t>
        </is>
      </c>
      <c r="J62" s="8" t="inlineStr">
        <is>
          <t>경향 카드 헤드라인 · 리포트 판정 열</t>
        </is>
      </c>
      <c r="K62" s="8" t="inlineStr"/>
    </row>
    <row r="63" s="35">
      <c r="A63" s="24" t="inlineStr">
        <is>
          <t>REQ-AD-025</t>
        </is>
      </c>
      <c r="B63" s="24" t="inlineStr">
        <is>
          <t>SCR-OP-004</t>
        </is>
      </c>
      <c r="C63" s="24" t="inlineStr">
        <is>
          <t>예측</t>
        </is>
      </c>
      <c r="D63" s="24" t="inlineStr">
        <is>
          <t>판정 근거</t>
        </is>
      </c>
      <c r="E63" s="24" t="inlineStr">
        <is>
          <t>string</t>
        </is>
      </c>
      <c r="F63" s="24" t="inlineStr">
        <is>
          <t>—</t>
        </is>
      </c>
      <c r="G63" s="24" t="inlineStr">
        <is>
          <t>—</t>
        </is>
      </c>
      <c r="H63" s="24" t="inlineStr">
        <is>
          <t>E3 기준 판정이면 출처, 미설정이면 무엇을 설정해야 하는지 — 사업장 분류 / 시트 / 항목값 셋을 구분한다(할 일이 다르다)</t>
        </is>
      </c>
      <c r="I63" s="8" t="inlineStr">
        <is>
          <t>Y</t>
        </is>
      </c>
      <c r="J63" s="8" t="inlineStr">
        <is>
          <t>경향 카드 근거 줄</t>
        </is>
      </c>
      <c r="K63" s="8" t="inlineStr"/>
    </row>
    <row r="64" s="35">
      <c r="A64" s="24" t="inlineStr">
        <is>
          <t>REQ-AD-025</t>
        </is>
      </c>
      <c r="B64" s="24" t="inlineStr">
        <is>
          <t>SCR-OP-004</t>
        </is>
      </c>
      <c r="C64" s="24" t="inlineStr">
        <is>
          <t>예측</t>
        </is>
      </c>
      <c r="D64" s="24" t="inlineStr">
        <is>
          <t>적용 기준치 표기</t>
        </is>
      </c>
      <c r="E64" s="24" t="inlineStr">
        <is>
          <t>string | null</t>
        </is>
      </c>
      <c r="F64" s="24" t="inlineStr">
        <is>
          <t>항목 단위</t>
        </is>
      </c>
      <c r="G64" s="24" t="inlineStr">
        <is>
          <t>[파생: 상한만 있으면 ≤ 40.0, 양방향이면 5.80–8.60]</t>
        </is>
      </c>
      <c r="H64" s="24" t="inlineStr">
        <is>
          <t>[회의 2026-08-20: 어느 지역의 TN 기준치는 몇이고 TP 기준치는 몇인 이러한 사항의 모니터링도 필요] — 판정만 있으면 무엇에 견준 것인지 알 수 없다</t>
        </is>
      </c>
      <c r="I64" s="8" t="inlineStr">
        <is>
          <t>Y</t>
        </is>
      </c>
      <c r="J64" s="8" t="inlineStr">
        <is>
          <t>적용 기준치 패널 · 카드 기준 ≤ …</t>
        </is>
      </c>
      <c r="K64" s="8" t="inlineStr"/>
    </row>
    <row r="65" s="35">
      <c r="A65" s="24" t="inlineStr">
        <is>
          <t>REQ-AD-025</t>
        </is>
      </c>
      <c r="B65" s="24" t="inlineStr">
        <is>
          <t>SCR-OP-004</t>
        </is>
      </c>
      <c r="C65" s="24" t="inlineStr">
        <is>
          <t>예측</t>
        </is>
      </c>
      <c r="D65" s="24" t="inlineStr">
        <is>
          <t>사업장 분류 표기</t>
        </is>
      </c>
      <c r="E65" s="24" t="inlineStr">
        <is>
          <t>string | null</t>
        </is>
      </c>
      <c r="F65" s="24" t="inlineStr">
        <is>
          <t>—</t>
        </is>
      </c>
      <c r="G65" s="24" t="inlineStr">
        <is>
          <t>[파생: 지역구분 · 배출량 규모]</t>
        </is>
      </c>
      <c r="H65" s="24" t="inlineStr">
        <is>
          <t>[공정자료 p.11] 기준표가 그 두 축으로 갈린다 · 한쪽만 골랐으면 나머지를 규모 미설정으로 남긴다 — 빈 칸으로 두면 다 골랐다고 읽힌다</t>
        </is>
      </c>
      <c r="I65" s="8" t="inlineStr">
        <is>
          <t>Y</t>
        </is>
      </c>
      <c r="J65" s="8" t="inlineStr">
        <is>
          <t>패널 머리말 · 카드</t>
        </is>
      </c>
      <c r="K65" s="8" t="inlineStr"/>
    </row>
    <row r="66" s="35">
      <c r="A66" s="24" t="inlineStr">
        <is>
          <t>REQ-AD-025</t>
        </is>
      </c>
      <c r="B66" s="24" t="inlineStr">
        <is>
          <t>SCR-OP-004</t>
        </is>
      </c>
      <c r="C66" s="24" t="inlineStr">
        <is>
          <t>예측</t>
        </is>
      </c>
      <c r="D66" s="24" t="inlineStr">
        <is>
          <t>기준치 출처</t>
        </is>
      </c>
      <c r="E66" s="24" t="inlineStr">
        <is>
          <t>string</t>
        </is>
      </c>
      <c r="F66" s="24" t="inlineStr">
        <is>
          <t>—</t>
        </is>
      </c>
      <c r="G66" s="24" t="inlineStr">
        <is>
          <t>—</t>
        </is>
      </c>
      <c r="H66" s="24" t="inlineStr">
        <is>
          <t>[설계] [사용자 설정 YYYY-MM-DD] 사업장 허가증 입력값 — 우리가 넣은 값이 아님을 심사자가 바로 알아야 한다. 법령이 원천이므로 우리는 값을 채우지 않는다(설계 명세 색인)</t>
        </is>
      </c>
      <c r="I66" s="8" t="inlineStr">
        <is>
          <t>Y</t>
        </is>
      </c>
      <c r="J66" s="8" t="inlineStr">
        <is>
          <t>적용 기준치 패널 출처</t>
        </is>
      </c>
      <c r="K66" s="8" t="inlineStr"/>
    </row>
    <row r="67" s="35">
      <c r="A67" s="24" t="inlineStr">
        <is>
          <t>REQ-AD-011</t>
        </is>
      </c>
      <c r="B67" s="24" t="inlineStr">
        <is>
          <t>SCR-OP-004</t>
        </is>
      </c>
      <c r="C67" s="24" t="inlineStr">
        <is>
          <t>예측</t>
        </is>
      </c>
      <c r="D67" s="24" t="inlineStr">
        <is>
          <t>결정계수 R²</t>
        </is>
      </c>
      <c r="E67" s="24" t="inlineStr">
        <is>
          <t>number | null</t>
        </is>
      </c>
      <c r="F67" s="24" t="inlineStr">
        <is>
          <t>0~1</t>
        </is>
      </c>
      <c r="G67" s="24" t="inlineStr">
        <is>
          <t>—</t>
        </is>
      </c>
      <c r="H67" s="24" t="inlineStr">
        <is>
          <t>TN·TP만 [원문 p.27] · TOC는 원문에 없어 null [INC-20·21]</t>
        </is>
      </c>
      <c r="I67" s="8" t="inlineStr">
        <is>
          <t>Y</t>
        </is>
      </c>
      <c r="J67" s="8" t="inlineStr">
        <is>
          <t>—</t>
        </is>
      </c>
      <c r="K67" s="8" t="inlineStr">
        <is>
          <t>INC-20 원문 모순 — 채택안은 출처 열에 적었다</t>
        </is>
      </c>
    </row>
    <row r="68" s="35">
      <c r="A68" s="24" t="inlineStr">
        <is>
          <t>REQ-AD-031</t>
        </is>
      </c>
      <c r="B68" s="24" t="inlineStr">
        <is>
          <t>SCR-OP-009</t>
        </is>
      </c>
      <c r="C68" s="24" t="inlineStr">
        <is>
          <t>수분석 검증</t>
        </is>
      </c>
      <c r="D68" s="24" t="inlineStr">
        <is>
          <t>검증 원천</t>
        </is>
      </c>
      <c r="E68" s="24" t="inlineStr">
        <is>
          <t>lab|analyzer</t>
        </is>
      </c>
      <c r="F68" s="24" t="inlineStr">
        <is>
          <t>—</t>
        </is>
      </c>
      <c r="G68" s="24" t="inlineStr">
        <is>
          <t>—</t>
        </is>
      </c>
      <c r="H68" s="24" t="inlineStr">
        <is>
          <t>위탁 실험실 [원문 p.38] · 분석기 [원문 발표 p.17] 1개소뿐</t>
        </is>
      </c>
      <c r="I68" s="8" t="inlineStr">
        <is>
          <t>Y</t>
        </is>
      </c>
      <c r="J68" s="8" t="inlineStr">
        <is>
          <t>—</t>
        </is>
      </c>
      <c r="K68" s="8" t="inlineStr"/>
    </row>
    <row r="69" s="35">
      <c r="A69" s="24" t="inlineStr">
        <is>
          <t>REQ-AD-031</t>
        </is>
      </c>
      <c r="B69" s="24" t="inlineStr">
        <is>
          <t>SCR-OP-009</t>
        </is>
      </c>
      <c r="C69" s="24" t="inlineStr">
        <is>
          <t>수분석 검증</t>
        </is>
      </c>
      <c r="D69" s="24" t="inlineStr">
        <is>
          <t>발급번호</t>
        </is>
      </c>
      <c r="E69" s="24" t="inlineStr">
        <is>
          <t>string</t>
        </is>
      </c>
      <c r="F69" s="24" t="inlineStr">
        <is>
          <t>—</t>
        </is>
      </c>
      <c r="G69" s="24" t="inlineStr">
        <is>
          <t>—</t>
        </is>
      </c>
      <c r="H69" s="24" t="inlineStr">
        <is>
          <t>성적서 체계 [데이터셋 Non_TMS_sites/05]</t>
        </is>
      </c>
      <c r="I69" s="8" t="inlineStr">
        <is>
          <t>Y</t>
        </is>
      </c>
      <c r="J69" s="8" t="inlineStr">
        <is>
          <t>—</t>
        </is>
      </c>
      <c r="K69" s="8" t="inlineStr"/>
    </row>
    <row r="70" s="35">
      <c r="A70" s="24" t="inlineStr">
        <is>
          <t>REQ-AD-031</t>
        </is>
      </c>
      <c r="B70" s="24" t="inlineStr">
        <is>
          <t>SCR-OP-009</t>
        </is>
      </c>
      <c r="C70" s="24" t="inlineStr">
        <is>
          <t>수분석 검증</t>
        </is>
      </c>
      <c r="D70" s="24" t="inlineStr">
        <is>
          <t>접수일 · 시험기간</t>
        </is>
      </c>
      <c r="E70" s="24" t="inlineStr">
        <is>
          <t>ISO8601 · string</t>
        </is>
      </c>
      <c r="F70" s="24" t="inlineStr">
        <is>
          <t>KST</t>
        </is>
      </c>
      <c r="G70" s="24" t="inlineStr">
        <is>
          <t>—</t>
        </is>
      </c>
      <c r="H70" s="24" t="inlineStr">
        <is>
          <t>[데이터셋 docs/datasets/Non_TMS_sites] 성적서 항목</t>
        </is>
      </c>
      <c r="I70" s="8" t="inlineStr">
        <is>
          <t>Y</t>
        </is>
      </c>
      <c r="J70" s="8" t="inlineStr">
        <is>
          <t>—</t>
        </is>
      </c>
      <c r="K70" s="8" t="inlineStr"/>
    </row>
    <row r="71" s="35">
      <c r="A71" s="24" t="inlineStr">
        <is>
          <t>REQ-AD-031</t>
        </is>
      </c>
      <c r="B71" s="24" t="inlineStr">
        <is>
          <t>SCR-OP-009</t>
        </is>
      </c>
      <c r="C71" s="24" t="inlineStr">
        <is>
          <t>수분석 검증</t>
        </is>
      </c>
      <c r="D71" s="24" t="inlineStr">
        <is>
          <t>분석 기관</t>
        </is>
      </c>
      <c r="E71" s="24" t="inlineStr">
        <is>
          <t>string</t>
        </is>
      </c>
      <c r="F71" s="24" t="inlineStr">
        <is>
          <t>—</t>
        </is>
      </c>
      <c r="G71" s="24" t="inlineStr">
        <is>
          <t>—</t>
        </is>
      </c>
      <c r="H71" s="24" t="inlineStr">
        <is>
          <t>[데이터셋 docs/datasets/Non_TMS_sites] 성적서의 위탁 분석 기관</t>
        </is>
      </c>
      <c r="I71" s="8" t="inlineStr">
        <is>
          <t>Y</t>
        </is>
      </c>
      <c r="J71" s="8" t="inlineStr">
        <is>
          <t>—</t>
        </is>
      </c>
      <c r="K71" s="8" t="inlineStr"/>
    </row>
    <row r="72" s="35">
      <c r="A72" s="24" t="inlineStr">
        <is>
          <t>REQ-AD-031</t>
        </is>
      </c>
      <c r="B72" s="24" t="inlineStr">
        <is>
          <t>SCR-OP-009</t>
        </is>
      </c>
      <c r="C72" s="24" t="inlineStr">
        <is>
          <t>수분석 검증</t>
        </is>
      </c>
      <c r="D72" s="24" t="inlineStr">
        <is>
          <t>시료 시각·접수번호</t>
        </is>
      </c>
      <c r="E72" s="24" t="inlineStr">
        <is>
          <t>ISO8601 · string</t>
        </is>
      </c>
      <c r="F72" s="24" t="inlineStr">
        <is>
          <t>KST</t>
        </is>
      </c>
      <c r="G72" s="24" t="inlineStr">
        <is>
          <t>—</t>
        </is>
      </c>
      <c r="H72" s="24" t="inlineStr">
        <is>
          <t>9:45부터 매시 8건 [데이터셋 Non_TMS_sites/05]</t>
        </is>
      </c>
      <c r="I72" s="8" t="inlineStr">
        <is>
          <t>Y</t>
        </is>
      </c>
      <c r="J72" s="8" t="inlineStr">
        <is>
          <t>—</t>
        </is>
      </c>
      <c r="K72" s="8" t="inlineStr"/>
    </row>
    <row r="73" s="35">
      <c r="A73" s="24" t="inlineStr">
        <is>
          <t>REQ-AD-031</t>
        </is>
      </c>
      <c r="B73" s="24" t="inlineStr">
        <is>
          <t>SCR-OP-009</t>
        </is>
      </c>
      <c r="C73" s="24" t="inlineStr">
        <is>
          <t>수분석 검증</t>
        </is>
      </c>
      <c r="D73" s="24" t="inlineStr">
        <is>
          <t>항목별 실측값</t>
        </is>
      </c>
      <c r="E73" s="24" t="inlineStr">
        <is>
          <t>number</t>
        </is>
      </c>
      <c r="F73" s="24" t="inlineStr">
        <is>
          <t>mg/L</t>
        </is>
      </c>
      <c r="G73" s="24" t="inlineStr">
        <is>
          <t>—</t>
        </is>
      </c>
      <c r="H73" s="24" t="inlineStr">
        <is>
          <t>TOC·TN·TP·SS·COD 5종. 값의 크기는 시연 계열에 맞춘다 [설계] — 형식만 성적서에서 가져왔다</t>
        </is>
      </c>
      <c r="I73" s="8" t="inlineStr">
        <is>
          <t>Y</t>
        </is>
      </c>
      <c r="J73" s="8" t="inlineStr">
        <is>
          <t>—</t>
        </is>
      </c>
      <c r="K73" s="8" t="inlineStr"/>
    </row>
    <row r="74" s="35">
      <c r="A74" s="24" t="inlineStr">
        <is>
          <t>REQ-AD-031</t>
        </is>
      </c>
      <c r="B74" s="24" t="inlineStr">
        <is>
          <t>SCR-OP-009</t>
        </is>
      </c>
      <c r="C74" s="24" t="inlineStr">
        <is>
          <t>수분석 검증</t>
        </is>
      </c>
      <c r="D74" s="24" t="inlineStr">
        <is>
          <t>AI 추정값</t>
        </is>
      </c>
      <c r="E74" s="24" t="inlineStr">
        <is>
          <t>number | null</t>
        </is>
      </c>
      <c r="F74" s="24" t="inlineStr">
        <is>
          <t>mg/L</t>
        </is>
      </c>
      <c r="G74" s="24" t="inlineStr">
        <is>
          <t>[파생: 그 회차 실측 + 시연 오차]</t>
        </is>
      </c>
      <c r="H74" s="24" t="inlineStr">
        <is>
          <t>[PROVISIONAL] 실제 시스템은 운영 이력에서 그 시각 값을 읽는다(REQ-AD-030 미구현). 오차 폭은 시연값이며 성능 목표가 아니다</t>
        </is>
      </c>
      <c r="I74" s="8" t="inlineStr">
        <is>
          <t>Y</t>
        </is>
      </c>
      <c r="J74" s="8" t="inlineStr">
        <is>
          <t>—</t>
        </is>
      </c>
      <c r="K74" s="8" t="inlineStr">
        <is>
          <t>임시값 — 확정 시 src/shared/config/provisional.ts 한 파일을 교체한다</t>
        </is>
      </c>
    </row>
    <row r="75" s="35">
      <c r="A75" s="24" t="inlineStr">
        <is>
          <t>REQ-AD-031</t>
        </is>
      </c>
      <c r="B75" s="24" t="inlineStr">
        <is>
          <t>SCR-OP-009</t>
        </is>
      </c>
      <c r="C75" s="24" t="inlineStr">
        <is>
          <t>수분석 검증</t>
        </is>
      </c>
      <c r="D75" s="24" t="inlineStr">
        <is>
          <t>오차</t>
        </is>
      </c>
      <c r="E75" s="24" t="inlineStr">
        <is>
          <t>number | null</t>
        </is>
      </c>
      <c r="F75" s="24" t="inlineStr">
        <is>
          <t>mg/L</t>
        </is>
      </c>
      <c r="G75" s="24" t="inlineStr">
        <is>
          <t>[파생: AI 추정 − 실측]</t>
        </is>
      </c>
      <c r="H75" s="24" t="inlineStr">
        <is>
          <t>부호가 정보다 — 보정 방향을 정한다 [설계]</t>
        </is>
      </c>
      <c r="I75" s="8" t="inlineStr">
        <is>
          <t>Y</t>
        </is>
      </c>
      <c r="J75" s="8" t="inlineStr">
        <is>
          <t>—</t>
        </is>
      </c>
      <c r="K75" s="8" t="inlineStr"/>
    </row>
    <row r="76" s="35">
      <c r="A76" s="24" t="inlineStr">
        <is>
          <t>REQ-AD-031</t>
        </is>
      </c>
      <c r="B76" s="24" t="inlineStr">
        <is>
          <t>SCR-OP-009</t>
        </is>
      </c>
      <c r="C76" s="24" t="inlineStr">
        <is>
          <t>수분석 검증</t>
        </is>
      </c>
      <c r="D76" s="24" t="inlineStr">
        <is>
          <t>추정 불가 사유</t>
        </is>
      </c>
      <c r="E76" s="24" t="inlineStr">
        <is>
          <t>string | null</t>
        </is>
      </c>
      <c r="F76" s="24" t="inlineStr">
        <is>
          <t>—</t>
        </is>
      </c>
      <c r="G76" s="24" t="inlineStr">
        <is>
          <t>—</t>
        </is>
      </c>
      <c r="H76" s="24" t="inlineStr">
        <is>
          <t>SS는 계측·추정 대상 아님 [공정자료 p.5·19] · COD는 폐지 [공정자료 p.12·16]</t>
        </is>
      </c>
      <c r="I76" s="8" t="inlineStr">
        <is>
          <t>Y</t>
        </is>
      </c>
      <c r="J76" s="8" t="inlineStr">
        <is>
          <t>—</t>
        </is>
      </c>
      <c r="K76" s="8" t="inlineStr"/>
    </row>
    <row r="77" s="35">
      <c r="A77" s="24" t="inlineStr">
        <is>
          <t>REQ-AD-031</t>
        </is>
      </c>
      <c r="B77" s="24" t="inlineStr">
        <is>
          <t>SCR-OP-009</t>
        </is>
      </c>
      <c r="C77" s="24" t="inlineStr">
        <is>
          <t>수분석 검증</t>
        </is>
      </c>
      <c r="D77" s="24" t="inlineStr">
        <is>
          <t>결정계수 R²</t>
        </is>
      </c>
      <c r="E77" s="24" t="inlineStr">
        <is>
          <t>number | null</t>
        </is>
      </c>
      <c r="F77" s="24" t="inlineStr">
        <is>
          <t>0~1</t>
        </is>
      </c>
      <c r="G77" s="24" t="inlineStr">
        <is>
          <t>[파생: 1 − 잔차제곱합/총제곱합] · 항목별로 계산한다</t>
        </is>
      </c>
      <c r="H77" s="24" t="inlineStr">
        <is>
          <t>[원문 p.38] · 표본 2개 미만이면 null — 한 점으로 정의되지 않는다(E3) · 모아서 계산하면 항목 간 크기 차이가 R²를 부풀린다</t>
        </is>
      </c>
      <c r="I77" s="8" t="inlineStr">
        <is>
          <t>Y</t>
        </is>
      </c>
      <c r="J77" s="8" t="inlineStr">
        <is>
          <t>—</t>
        </is>
      </c>
      <c r="K77" s="8" t="inlineStr"/>
    </row>
    <row r="78" s="35">
      <c r="A78" s="24" t="inlineStr">
        <is>
          <t>REQ-AD-031</t>
        </is>
      </c>
      <c r="B78" s="24" t="inlineStr">
        <is>
          <t>SCR-OP-009</t>
        </is>
      </c>
      <c r="C78" s="24" t="inlineStr">
        <is>
          <t>수분석 검증</t>
        </is>
      </c>
      <c r="D78" s="24" t="inlineStr">
        <is>
          <t>평균절대오차 MAE</t>
        </is>
      </c>
      <c r="E78" s="24" t="inlineStr">
        <is>
          <t>number | null</t>
        </is>
      </c>
      <c r="F78" s="24" t="inlineStr">
        <is>
          <t>mg/L</t>
        </is>
      </c>
      <c r="G78" s="24" t="inlineStr">
        <is>
          <t>[파생: 절대오차 평균]</t>
        </is>
      </c>
      <c r="H78" s="24" t="inlineStr">
        <is>
          <t>[원문 p.38]</t>
        </is>
      </c>
      <c r="I78" s="8" t="inlineStr">
        <is>
          <t>Y</t>
        </is>
      </c>
      <c r="J78" s="8" t="inlineStr">
        <is>
          <t>—</t>
        </is>
      </c>
      <c r="K78" s="8" t="inlineStr"/>
    </row>
    <row r="79" s="35">
      <c r="A79" s="24" t="inlineStr">
        <is>
          <t>REQ-AD-031</t>
        </is>
      </c>
      <c r="B79" s="24" t="inlineStr">
        <is>
          <t>SCR-OP-009</t>
        </is>
      </c>
      <c r="C79" s="24" t="inlineStr">
        <is>
          <t>수분석 검증</t>
        </is>
      </c>
      <c r="D79" s="24" t="inlineStr">
        <is>
          <t>제곱평균제곱근오차 RMSE</t>
        </is>
      </c>
      <c r="E79" s="24" t="inlineStr">
        <is>
          <t>number | null</t>
        </is>
      </c>
      <c r="F79" s="24" t="inlineStr">
        <is>
          <t>mg/L</t>
        </is>
      </c>
      <c r="G79" s="24" t="inlineStr">
        <is>
          <t>[파생: 제곱오차 평균의 제곱근]</t>
        </is>
      </c>
      <c r="H79" s="24" t="inlineStr">
        <is>
          <t>[원문 발표 p.26 그림] 검증 방법 5단계가 R², MAE/RMSE로 적는다. MAE와 나란히 두어야 오차가 고른지 몇 개가 튀는지 드러난다</t>
        </is>
      </c>
      <c r="I79" s="8" t="inlineStr">
        <is>
          <t>Y</t>
        </is>
      </c>
      <c r="J79" s="8" t="inlineStr">
        <is>
          <t>—</t>
        </is>
      </c>
      <c r="K79" s="8" t="inlineStr"/>
    </row>
    <row r="80" s="35">
      <c r="A80" s="24" t="inlineStr">
        <is>
          <t>REQ-AD-031</t>
        </is>
      </c>
      <c r="B80" s="24" t="inlineStr">
        <is>
          <t>SCR-OP-009</t>
        </is>
      </c>
      <c r="C80" s="24" t="inlineStr">
        <is>
          <t>수분석 검증</t>
        </is>
      </c>
      <c r="D80" s="24" t="inlineStr">
        <is>
          <t>표본 수</t>
        </is>
      </c>
      <c r="E80" s="24" t="inlineStr">
        <is>
          <t>number</t>
        </is>
      </c>
      <c r="F80" s="24" t="inlineStr">
        <is>
          <t>쌍</t>
        </is>
      </c>
      <c r="G80" s="24" t="inlineStr">
        <is>
          <t>[파생: 대조 가능한 쌍의 수]</t>
        </is>
      </c>
      <c r="H80" s="24" t="inlineStr">
        <is>
          <t>[설계] 값과 함께 다녀야 신뢰도를 읽을 수 있다(E3)</t>
        </is>
      </c>
      <c r="I80" s="8" t="inlineStr">
        <is>
          <t>Y</t>
        </is>
      </c>
      <c r="J80" s="8" t="inlineStr">
        <is>
          <t>—</t>
        </is>
      </c>
      <c r="K80" s="8" t="inlineStr"/>
    </row>
    <row r="81" s="35">
      <c r="A81" s="24" t="inlineStr">
        <is>
          <t>REQ-AD-012</t>
        </is>
      </c>
      <c r="B81" s="24" t="inlineStr">
        <is>
          <t>SCR-OP-005</t>
        </is>
      </c>
      <c r="C81" s="24" t="inlineStr">
        <is>
          <t>설비</t>
        </is>
      </c>
      <c r="D81" s="24" t="inlineStr">
        <is>
          <t>설비 ID</t>
        </is>
      </c>
      <c r="E81" s="24" t="inlineStr">
        <is>
          <t>string</t>
        </is>
      </c>
      <c r="F81" s="24" t="inlineStr">
        <is>
          <t>—</t>
        </is>
      </c>
      <c r="G81" s="24" t="inlineStr">
        <is>
          <t>—</t>
        </is>
      </c>
      <c r="H81" s="24" t="inlineStr">
        <is>
          <t>[설계]</t>
        </is>
      </c>
      <c r="I81" s="8" t="inlineStr">
        <is>
          <t>N</t>
        </is>
      </c>
      <c r="J81" s="8" t="inlineStr">
        <is>
          <t>—</t>
        </is>
      </c>
      <c r="K81" s="8" t="inlineStr"/>
    </row>
    <row r="82" s="35">
      <c r="A82" s="24" t="inlineStr">
        <is>
          <t>REQ-AD-012</t>
        </is>
      </c>
      <c r="B82" s="24" t="inlineStr">
        <is>
          <t>SCR-OP-001·005</t>
        </is>
      </c>
      <c r="C82" s="24" t="inlineStr">
        <is>
          <t>설비</t>
        </is>
      </c>
      <c r="D82" s="24" t="inlineStr">
        <is>
          <t>설비명</t>
        </is>
      </c>
      <c r="E82" s="24" t="inlineStr">
        <is>
          <t>string</t>
        </is>
      </c>
      <c r="F82" s="24" t="inlineStr">
        <is>
          <t>—</t>
        </is>
      </c>
      <c r="G82" s="24" t="inlineStr">
        <is>
          <t>—</t>
        </is>
      </c>
      <c r="H82" s="24" t="inlineStr">
        <is>
          <t>[원문 p.30] 펌프·폭기장치 · 대수는 시연값 [TBD-48]</t>
        </is>
      </c>
      <c r="I82" s="8" t="inlineStr">
        <is>
          <t>Y</t>
        </is>
      </c>
      <c r="J82" s="8" t="inlineStr">
        <is>
          <t>설비 카드·표</t>
        </is>
      </c>
      <c r="K82" s="8" t="inlineStr">
        <is>
          <t>TBD-48 원문 미확정</t>
        </is>
      </c>
    </row>
    <row r="83" s="35">
      <c r="A83" s="24" t="inlineStr">
        <is>
          <t>REQ-AD-012</t>
        </is>
      </c>
      <c r="B83" s="24" t="inlineStr">
        <is>
          <t>SCR-OP-001·005</t>
        </is>
      </c>
      <c r="C83" s="24" t="inlineStr">
        <is>
          <t>설비</t>
        </is>
      </c>
      <c r="D83" s="24" t="inlineStr">
        <is>
          <t>가동 여부</t>
        </is>
      </c>
      <c r="E83" s="24" t="inlineStr">
        <is>
          <t>boolean|null</t>
        </is>
      </c>
      <c r="F83" s="24" t="inlineStr">
        <is>
          <t>—</t>
        </is>
      </c>
      <c r="G83" s="24" t="inlineStr">
        <is>
          <t>[파생: 마지막 표본 구간의 결측 여부 + 위험도]</t>
        </is>
      </c>
      <c r="H83" s="24" t="inlineStr">
        <is>
          <t>[회의 2026-08-20] on/off만 확인 가능 · null은 모름(E4)</t>
        </is>
      </c>
      <c r="I83" s="8" t="inlineStr">
        <is>
          <t>Y</t>
        </is>
      </c>
      <c r="J83" s="8" t="inlineStr">
        <is>
          <t>설비 카드 가동 · 표</t>
        </is>
      </c>
      <c r="K83" s="8" t="inlineStr"/>
    </row>
    <row r="84" s="35">
      <c r="A84" s="24" t="inlineStr">
        <is>
          <t>REQ-AD-012</t>
        </is>
      </c>
      <c r="B84" s="24" t="inlineStr">
        <is>
          <t>SCR-OP-005</t>
        </is>
      </c>
      <c r="C84" s="24" t="inlineStr">
        <is>
          <t>설비</t>
        </is>
      </c>
      <c r="D84" s="24" t="inlineStr">
        <is>
          <t>이상 신호</t>
        </is>
      </c>
      <c r="E84" s="24" t="inlineStr">
        <is>
          <t>진동|전류 배열</t>
        </is>
      </c>
      <c r="F84" s="24" t="inlineStr">
        <is>
          <t>—</t>
        </is>
      </c>
      <c r="G84" s="24" t="inlineStr">
        <is>
          <t>[파생: 위험도 × 사업장 세기]</t>
        </is>
      </c>
      <c r="H84" s="24" t="inlineStr">
        <is>
          <t>[회의 2026-08-20] 진동 감지 센서 · [원문 발표 p.11·18 그림] 진동 이상 · 사양 미정 [TBD-49]</t>
        </is>
      </c>
      <c r="I84" s="8" t="inlineStr">
        <is>
          <t>Y</t>
        </is>
      </c>
      <c r="J84" s="8" t="inlineStr">
        <is>
          <t>설비 카드 이상 신호 · 표</t>
        </is>
      </c>
      <c r="K84" s="8" t="inlineStr">
        <is>
          <t>TBD-49 원문 미확정</t>
        </is>
      </c>
    </row>
    <row r="85" s="35">
      <c r="A85" s="24" t="inlineStr">
        <is>
          <t>REQ-AD-012</t>
        </is>
      </c>
      <c r="B85" s="24" t="inlineStr">
        <is>
          <t>SCR-OP-005</t>
        </is>
      </c>
      <c r="C85" s="24" t="inlineStr">
        <is>
          <t>설비</t>
        </is>
      </c>
      <c r="D85" s="24" t="inlineStr">
        <is>
          <t>이상 시작 시각</t>
        </is>
      </c>
      <c r="E85" s="24" t="inlineStr">
        <is>
          <t>ISO8601|null</t>
        </is>
      </c>
      <c r="F85" s="24" t="inlineStr">
        <is>
          <t>KST</t>
        </is>
      </c>
      <c r="G85" s="24" t="inlineStr">
        <is>
          <t>[파생: 창 끝 − 지속 시간]</t>
        </is>
      </c>
      <c r="H85" s="24" t="inlineStr">
        <is>
          <t>[설계] 언제부터인지 없이 이상만 적으면 대응 순서를 못 정한다(E5)</t>
        </is>
      </c>
      <c r="I85" s="8" t="inlineStr">
        <is>
          <t>Y</t>
        </is>
      </c>
      <c r="J85" s="8" t="inlineStr">
        <is>
          <t>상세 모달</t>
        </is>
      </c>
      <c r="K85" s="8" t="inlineStr"/>
    </row>
    <row r="86" s="35">
      <c r="A86" s="24" t="inlineStr">
        <is>
          <t>REQ-AD-012</t>
        </is>
      </c>
      <c r="B86" s="24" t="inlineStr">
        <is>
          <t>SCR-OP-005</t>
        </is>
      </c>
      <c r="C86" s="24" t="inlineStr">
        <is>
          <t>설비</t>
        </is>
      </c>
      <c r="D86" s="24" t="inlineStr">
        <is>
          <t>이상 지속</t>
        </is>
      </c>
      <c r="E86" s="24" t="inlineStr">
        <is>
          <t>number|null</t>
        </is>
      </c>
      <c r="F86" s="24" t="inlineStr">
        <is>
          <t>시간</t>
        </is>
      </c>
      <c r="G86" s="24" t="inlineStr">
        <is>
          <t>[파생: 이상 구간 칸 수]</t>
        </is>
      </c>
      <c r="H86" s="24" t="inlineStr">
        <is>
          <t>[설계] 등급 판정의 두 축 중 하나 · 모르면 null(E4)</t>
        </is>
      </c>
      <c r="I86" s="8" t="inlineStr">
        <is>
          <t>Y</t>
        </is>
      </c>
      <c r="J86" s="8" t="inlineStr">
        <is>
          <t>설비 카드·표·순위</t>
        </is>
      </c>
      <c r="K86" s="8" t="inlineStr"/>
    </row>
    <row r="87" s="35">
      <c r="A87" s="24" t="inlineStr">
        <is>
          <t>REQ-AD-012</t>
        </is>
      </c>
      <c r="B87" s="24" t="inlineStr">
        <is>
          <t>SCR-OP-001·005</t>
        </is>
      </c>
      <c r="C87" s="24" t="inlineStr">
        <is>
          <t>설비</t>
        </is>
      </c>
      <c r="D87" s="24" t="inlineStr">
        <is>
          <t>상태 등급</t>
        </is>
      </c>
      <c r="E87" s="24" t="inlineStr">
        <is>
          <t>4등급</t>
        </is>
      </c>
      <c r="F87" s="24" t="inlineStr">
        <is>
          <t>—</t>
        </is>
      </c>
      <c r="G87" s="24" t="inlineStr">
        <is>
          <t>[파생: toEquipmentStatus(신호 수, 지속)]</t>
        </is>
      </c>
      <c r="H87" s="24" t="inlineStr">
        <is>
          <t>[INC-01·03·04] 4단계 · 판정 규칙은 원문에 없다 [TBD-50]</t>
        </is>
      </c>
      <c r="I87" s="8" t="inlineStr">
        <is>
          <t>Y</t>
        </is>
      </c>
      <c r="J87" s="8" t="inlineStr">
        <is>
          <t>등급 배지</t>
        </is>
      </c>
      <c r="K87" s="8" t="inlineStr">
        <is>
          <t>TBD-50 원문 미확정 / INC-01 원문 모순 — 채택안은 출처 열에 적었다</t>
        </is>
      </c>
    </row>
    <row r="88" s="35">
      <c r="A88" s="24" t="inlineStr">
        <is>
          <t>REQ-AD-012</t>
        </is>
      </c>
      <c r="B88" s="24" t="inlineStr">
        <is>
          <t>SCR-OP-005</t>
        </is>
      </c>
      <c r="C88" s="24" t="inlineStr">
        <is>
          <t>설비</t>
        </is>
      </c>
      <c r="D88" s="24" t="inlineStr">
        <is>
          <t>누적 가동시간</t>
        </is>
      </c>
      <c r="E88" s="24" t="inlineStr">
        <is>
          <t>number</t>
        </is>
      </c>
      <c r="F88" s="24" t="inlineStr">
        <is>
          <t>h</t>
        </is>
      </c>
      <c r="G88" s="24" t="inlineStr">
        <is>
          <t>—</t>
        </is>
      </c>
      <c r="H88" s="24" t="inlineStr">
        <is>
          <t>[설계]</t>
        </is>
      </c>
      <c r="I88" s="8" t="inlineStr">
        <is>
          <t>Y</t>
        </is>
      </c>
      <c r="J88" s="8" t="inlineStr">
        <is>
          <t>설비 표</t>
        </is>
      </c>
      <c r="K88" s="8" t="inlineStr"/>
    </row>
    <row r="89" s="35">
      <c r="A89" s="24" t="inlineStr">
        <is>
          <t>REQ-AD-019</t>
        </is>
      </c>
      <c r="B89" s="24" t="inlineStr">
        <is>
          <t>SCR-OP-005</t>
        </is>
      </c>
      <c r="C89" s="24" t="inlineStr">
        <is>
          <t>설비 이력</t>
        </is>
      </c>
      <c r="D89" s="24" t="inlineStr">
        <is>
          <t>격자 칸(시각)</t>
        </is>
      </c>
      <c r="E89" s="24" t="inlineStr">
        <is>
          <t>number</t>
        </is>
      </c>
      <c r="F89" s="24" t="inlineStr">
        <is>
          <t>시</t>
        </is>
      </c>
      <c r="G89" s="24" t="inlineStr">
        <is>
          <t>0이 창의 시작. 24칸</t>
        </is>
      </c>
      <c r="H89" s="24" t="inlineStr">
        <is>
          <t>[원문 발표 p.18 그림] 00시~24시</t>
        </is>
      </c>
      <c r="I89" s="8" t="inlineStr">
        <is>
          <t>Y</t>
        </is>
      </c>
      <c r="J89" s="8" t="inlineStr">
        <is>
          <t>가동 격자 열</t>
        </is>
      </c>
      <c r="K89" s="8" t="inlineStr"/>
    </row>
    <row r="90" s="35">
      <c r="A90" s="24" t="inlineStr">
        <is>
          <t>REQ-AD-019</t>
        </is>
      </c>
      <c r="B90" s="24" t="inlineStr">
        <is>
          <t>SCR-OP-005</t>
        </is>
      </c>
      <c r="C90" s="24" t="inlineStr">
        <is>
          <t>설비 이력</t>
        </is>
      </c>
      <c r="D90" s="24" t="inlineStr">
        <is>
          <t>격자 칸 시각</t>
        </is>
      </c>
      <c r="E90" s="24" t="inlineStr">
        <is>
          <t>string</t>
        </is>
      </c>
      <c r="F90" s="24" t="inlineStr">
        <is>
          <t>KST</t>
        </is>
      </c>
      <c r="G90" s="24" t="inlineStr">
        <is>
          <t>칸 첫 표본의 시각</t>
        </is>
      </c>
      <c r="H90" s="24" t="inlineStr">
        <is>
          <t>[설계]</t>
        </is>
      </c>
      <c r="I90" s="8" t="inlineStr">
        <is>
          <t>Y</t>
        </is>
      </c>
      <c r="J90" s="8" t="inlineStr">
        <is>
          <t>격자 눈금·툴팁</t>
        </is>
      </c>
      <c r="K90" s="8" t="inlineStr"/>
    </row>
    <row r="91" s="35">
      <c r="A91" s="24" t="inlineStr">
        <is>
          <t>REQ-AD-019</t>
        </is>
      </c>
      <c r="B91" s="24" t="inlineStr">
        <is>
          <t>SCR-OP-005</t>
        </is>
      </c>
      <c r="C91" s="24" t="inlineStr">
        <is>
          <t>설비 이력</t>
        </is>
      </c>
      <c r="D91" s="24" t="inlineStr">
        <is>
          <t>칸 가동 여부</t>
        </is>
      </c>
      <c r="E91" s="24" t="inlineStr">
        <is>
          <t>boolean|null</t>
        </is>
      </c>
      <c r="F91" s="24" t="inlineStr">
        <is>
          <t>—</t>
        </is>
      </c>
      <c r="G91" s="24" t="inlineStr">
        <is>
          <t>[파생: 한 시간 안에 결측이 하나라도 있으면 null]</t>
        </is>
      </c>
      <c r="H91" s="24" t="inlineStr">
        <is>
          <t>[회의 2026-08-20] · 결측을 정지로 적으면 가동률이 틀린다(E4)</t>
        </is>
      </c>
      <c r="I91" s="8" t="inlineStr">
        <is>
          <t>Y</t>
        </is>
      </c>
      <c r="J91" s="8" t="inlineStr">
        <is>
          <t>격자 칸 색</t>
        </is>
      </c>
      <c r="K91" s="8" t="inlineStr"/>
    </row>
    <row r="92" s="35">
      <c r="A92" s="24" t="inlineStr">
        <is>
          <t>REQ-AD-019</t>
        </is>
      </c>
      <c r="B92" s="24" t="inlineStr">
        <is>
          <t>SCR-OP-005</t>
        </is>
      </c>
      <c r="C92" s="24" t="inlineStr">
        <is>
          <t>설비 이력</t>
        </is>
      </c>
      <c r="D92" s="24" t="inlineStr">
        <is>
          <t>칸 이상 신호</t>
        </is>
      </c>
      <c r="E92" s="24" t="inlineStr">
        <is>
          <t>진동|전류 배열</t>
        </is>
      </c>
      <c r="F92" s="24" t="inlineStr">
        <is>
          <t>—</t>
        </is>
      </c>
      <c r="G92" s="24" t="inlineStr">
        <is>
          <t>[파생: 이상 구간 안이면 현재 신호]</t>
        </is>
      </c>
      <c r="H92" s="24" t="inlineStr">
        <is>
          <t>[설계] 시간마다 다른 신호를 만들 근거가 없다</t>
        </is>
      </c>
      <c r="I92" s="8" t="inlineStr">
        <is>
          <t>Y</t>
        </is>
      </c>
      <c r="J92" s="8" t="inlineStr">
        <is>
          <t>격자 칸 글리프</t>
        </is>
      </c>
      <c r="K92" s="8" t="inlineStr"/>
    </row>
    <row r="93" s="35">
      <c r="A93" s="24" t="inlineStr">
        <is>
          <t>REQ-AD-019</t>
        </is>
      </c>
      <c r="B93" s="24" t="inlineStr">
        <is>
          <t>SCR-OP-005</t>
        </is>
      </c>
      <c r="C93" s="24" t="inlineStr">
        <is>
          <t>설비 이력</t>
        </is>
      </c>
      <c r="D93" s="24" t="inlineStr">
        <is>
          <t>방지시설 줄 시각</t>
        </is>
      </c>
      <c r="E93" s="24" t="inlineStr">
        <is>
          <t>string</t>
        </is>
      </c>
      <c r="F93" s="24" t="inlineStr">
        <is>
          <t>KST</t>
        </is>
      </c>
      <c r="G93" s="24" t="inlineStr">
        <is>
          <t>설비 격자와 같은 축</t>
        </is>
      </c>
      <c r="H93" s="24" t="inlineStr">
        <is>
          <t>[설계]</t>
        </is>
      </c>
      <c r="I93" s="8" t="inlineStr">
        <is>
          <t>Y</t>
        </is>
      </c>
      <c r="J93" s="8" t="inlineStr">
        <is>
          <t>방지시설 줄</t>
        </is>
      </c>
      <c r="K93" s="8" t="inlineStr"/>
    </row>
    <row r="94" s="35">
      <c r="A94" s="24" t="inlineStr">
        <is>
          <t>REQ-AD-019</t>
        </is>
      </c>
      <c r="B94" s="24" t="inlineStr">
        <is>
          <t>SCR-OP-005</t>
        </is>
      </c>
      <c r="C94" s="24" t="inlineStr">
        <is>
          <t>설비 이력</t>
        </is>
      </c>
      <c r="D94" s="24" t="inlineStr">
        <is>
          <t>방지시설 미가동</t>
        </is>
      </c>
      <c r="E94" s="24" t="inlineStr">
        <is>
          <t>boolean|null</t>
        </is>
      </c>
      <c r="F94" s="24" t="inlineStr">
        <is>
          <t>—</t>
        </is>
      </c>
      <c r="G94" s="24" t="inlineStr">
        <is>
          <t>[파생: isTreatmentIdleAt를 시간 단위로 묶음]</t>
        </is>
      </c>
      <c r="H94" s="24" t="inlineStr">
        <is>
          <t>[TBD-46] · 설비 칸과 다른 축이라 섞지 않는다</t>
        </is>
      </c>
      <c r="I94" s="8" t="inlineStr">
        <is>
          <t>Y</t>
        </is>
      </c>
      <c r="J94" s="8" t="inlineStr">
        <is>
          <t>방지시설 줄</t>
        </is>
      </c>
      <c r="K94" s="8" t="inlineStr">
        <is>
          <t>TBD-46 원문 미확정</t>
        </is>
      </c>
    </row>
    <row r="95" s="35">
      <c r="A95" s="24" t="inlineStr">
        <is>
          <t>REQ-AD-024</t>
        </is>
      </c>
      <c r="B95" s="24" t="inlineStr">
        <is>
          <t>SCR-OP-007</t>
        </is>
      </c>
      <c r="C95" s="24" t="inlineStr">
        <is>
          <t>알람</t>
        </is>
      </c>
      <c r="D95" s="24" t="inlineStr">
        <is>
          <t>알람 ID</t>
        </is>
      </c>
      <c r="E95" s="24" t="inlineStr">
        <is>
          <t>string</t>
        </is>
      </c>
      <c r="F95" s="24" t="inlineStr">
        <is>
          <t>—</t>
        </is>
      </c>
      <c r="G95" s="24" t="inlineStr">
        <is>
          <t>—</t>
        </is>
      </c>
      <c r="H95" s="24" t="inlineStr">
        <is>
          <t>[설계]</t>
        </is>
      </c>
      <c r="I95" s="8" t="inlineStr">
        <is>
          <t>N</t>
        </is>
      </c>
      <c r="J95" s="8" t="inlineStr">
        <is>
          <t>—</t>
        </is>
      </c>
      <c r="K95" s="8" t="inlineStr"/>
    </row>
    <row r="96" s="35">
      <c r="A96" s="24" t="inlineStr">
        <is>
          <t>REQ-AD-024</t>
        </is>
      </c>
      <c r="B96" s="24" t="inlineStr">
        <is>
          <t>SCR-OP-007</t>
        </is>
      </c>
      <c r="C96" s="24" t="inlineStr">
        <is>
          <t>알람</t>
        </is>
      </c>
      <c r="D96" s="24" t="inlineStr">
        <is>
          <t>사업장 ID·명</t>
        </is>
      </c>
      <c r="E96" s="24" t="inlineStr">
        <is>
          <t>string</t>
        </is>
      </c>
      <c r="F96" s="24" t="inlineStr">
        <is>
          <t>—</t>
        </is>
      </c>
      <c r="G96" s="24" t="inlineStr">
        <is>
          <t>—</t>
        </is>
      </c>
      <c r="H96" s="24" t="inlineStr">
        <is>
          <t>[설계]</t>
        </is>
      </c>
      <c r="I96" s="8" t="inlineStr">
        <is>
          <t>Y</t>
        </is>
      </c>
      <c r="J96" s="8" t="inlineStr">
        <is>
          <t>—</t>
        </is>
      </c>
      <c r="K96" s="8" t="inlineStr"/>
    </row>
    <row r="97" s="35">
      <c r="A97" s="24" t="inlineStr">
        <is>
          <t>REQ-AD-024</t>
        </is>
      </c>
      <c r="B97" s="24" t="inlineStr">
        <is>
          <t>SCR-OP-007</t>
        </is>
      </c>
      <c r="C97" s="24" t="inlineStr">
        <is>
          <t>알람</t>
        </is>
      </c>
      <c r="D97" s="24" t="inlineStr">
        <is>
          <t>상태 등급</t>
        </is>
      </c>
      <c r="E97" s="24" t="inlineStr">
        <is>
          <t>4등급</t>
        </is>
      </c>
      <c r="F97" s="24" t="inlineStr">
        <is>
          <t>—</t>
        </is>
      </c>
      <c r="G97" s="24" t="inlineStr">
        <is>
          <t>—</t>
        </is>
      </c>
      <c r="H97" s="24" t="inlineStr">
        <is>
          <t>[원문 발표 p.15·18·20 그림] — 우선순위와 다른 축이다(p.20이 둘을 다른 열로 보여준다)</t>
        </is>
      </c>
      <c r="I97" s="8" t="inlineStr">
        <is>
          <t>Y</t>
        </is>
      </c>
      <c r="J97" s="8" t="inlineStr">
        <is>
          <t>—</t>
        </is>
      </c>
      <c r="K97" s="8" t="inlineStr"/>
    </row>
    <row r="98" s="35">
      <c r="A98" s="24" t="inlineStr">
        <is>
          <t>REQ-AD-024</t>
        </is>
      </c>
      <c r="B98" s="24" t="inlineStr">
        <is>
          <t>SCR-OP-001·007</t>
        </is>
      </c>
      <c r="C98" s="24" t="inlineStr">
        <is>
          <t>알람</t>
        </is>
      </c>
      <c r="D98" s="24" t="inlineStr">
        <is>
          <t>우선순위</t>
        </is>
      </c>
      <c r="E98" s="24" t="inlineStr">
        <is>
          <t>urgent|caution|info</t>
        </is>
      </c>
      <c r="F98" s="24" t="inlineStr">
        <is>
          <t>—</t>
        </is>
      </c>
      <c r="G98" s="24" t="inlineStr">
        <is>
          <t>[파생: PRIORITY_BY_LEVEL[등급]]</t>
        </is>
      </c>
      <c r="H98" s="24" t="inlineStr">
        <is>
          <t>[원문 p.32] 긴급/주의/정보 · 대응 규칙은 원문에 없어 추정이다 [INC-02] (추정으로 등록해 둔 항목이다)</t>
        </is>
      </c>
      <c r="I98" s="8" t="inlineStr">
        <is>
          <t>Y</t>
        </is>
      </c>
      <c r="J98" s="8" t="inlineStr">
        <is>
          <t>—</t>
        </is>
      </c>
      <c r="K98" s="8" t="inlineStr">
        <is>
          <t>INC-02 원문 모순 — 채택안은 출처 열에 적었다</t>
        </is>
      </c>
    </row>
    <row r="99" s="35">
      <c r="A99" s="24" t="inlineStr">
        <is>
          <t>REQ-AD-024</t>
        </is>
      </c>
      <c r="B99" s="24" t="inlineStr">
        <is>
          <t>SCR-OP-007</t>
        </is>
      </c>
      <c r="C99" s="24" t="inlineStr">
        <is>
          <t>알람</t>
        </is>
      </c>
      <c r="D99" s="24" t="inlineStr">
        <is>
          <t>발생 조건</t>
        </is>
      </c>
      <c r="E99" s="24" t="inlineStr">
        <is>
          <t>4종 열거</t>
        </is>
      </c>
      <c r="F99" s="24" t="inlineStr">
        <is>
          <t>—</t>
        </is>
      </c>
      <c r="G99" s="24" t="inlineStr">
        <is>
          <t>—</t>
        </is>
      </c>
      <c r="H99" s="24" t="inlineStr">
        <is>
          <t>[원문 p.32] 이상 탐지/오염도 급변/수질 변화 이상/설비 이상</t>
        </is>
      </c>
      <c r="I99" s="8" t="inlineStr">
        <is>
          <t>Y</t>
        </is>
      </c>
      <c r="J99" s="8" t="inlineStr">
        <is>
          <t>—</t>
        </is>
      </c>
      <c r="K99" s="8" t="inlineStr"/>
    </row>
    <row r="100" s="35">
      <c r="A100" s="24" t="inlineStr">
        <is>
          <t>REQ-AD-024</t>
        </is>
      </c>
      <c r="B100" s="24" t="inlineStr">
        <is>
          <t>SCR-OP-007</t>
        </is>
      </c>
      <c r="C100" s="24" t="inlineStr">
        <is>
          <t>알람</t>
        </is>
      </c>
      <c r="D100" s="24" t="inlineStr">
        <is>
          <t>처리 상태</t>
        </is>
      </c>
      <c r="E100" s="24" t="inlineStr">
        <is>
          <t>open|acknowledged|resolved</t>
        </is>
      </c>
      <c r="F100" s="24" t="inlineStr">
        <is>
          <t>—</t>
        </is>
      </c>
      <c r="G100" s="24" t="inlineStr">
        <is>
          <t>—</t>
        </is>
      </c>
      <c r="H100" s="24" t="inlineStr">
        <is>
          <t>[설계] 원문에 상태 정의 없음</t>
        </is>
      </c>
      <c r="I100" s="8" t="inlineStr">
        <is>
          <t>Y</t>
        </is>
      </c>
      <c r="J100" s="8" t="inlineStr">
        <is>
          <t>—</t>
        </is>
      </c>
      <c r="K100" s="8" t="inlineStr"/>
    </row>
    <row r="101" s="35">
      <c r="A101" s="24" t="inlineStr">
        <is>
          <t>REQ-AD-024</t>
        </is>
      </c>
      <c r="B101" s="24" t="inlineStr">
        <is>
          <t>SCR-OP-001·007</t>
        </is>
      </c>
      <c r="C101" s="24" t="inlineStr">
        <is>
          <t>알람</t>
        </is>
      </c>
      <c r="D101" s="24" t="inlineStr">
        <is>
          <t>제목</t>
        </is>
      </c>
      <c r="E101" s="24" t="inlineStr">
        <is>
          <t>string</t>
        </is>
      </c>
      <c r="F101" s="24" t="inlineStr">
        <is>
          <t>—</t>
        </is>
      </c>
      <c r="G101" s="24" t="inlineStr">
        <is>
          <t>—</t>
        </is>
      </c>
      <c r="H101" s="24" t="inlineStr">
        <is>
          <t>[설계]</t>
        </is>
      </c>
      <c r="I101" s="8" t="inlineStr">
        <is>
          <t>Y</t>
        </is>
      </c>
      <c r="J101" s="8" t="inlineStr">
        <is>
          <t>—</t>
        </is>
      </c>
      <c r="K101" s="8" t="inlineStr"/>
    </row>
    <row r="102" s="35">
      <c r="A102" s="24" t="inlineStr">
        <is>
          <t>REQ-AD-024</t>
        </is>
      </c>
      <c r="B102" s="24" t="inlineStr">
        <is>
          <t>SCR-OP-007</t>
        </is>
      </c>
      <c r="C102" s="24" t="inlineStr">
        <is>
          <t>알람</t>
        </is>
      </c>
      <c r="D102" s="24" t="inlineStr">
        <is>
          <t>상세</t>
        </is>
      </c>
      <c r="E102" s="24" t="inlineStr">
        <is>
          <t>string</t>
        </is>
      </c>
      <c r="F102" s="24" t="inlineStr">
        <is>
          <t>—</t>
        </is>
      </c>
      <c r="G102" s="24" t="inlineStr">
        <is>
          <t>—</t>
        </is>
      </c>
      <c r="H102" s="24" t="inlineStr">
        <is>
          <t>[설계]</t>
        </is>
      </c>
      <c r="I102" s="8" t="inlineStr">
        <is>
          <t>Y</t>
        </is>
      </c>
      <c r="J102" s="8" t="inlineStr">
        <is>
          <t>—</t>
        </is>
      </c>
      <c r="K102" s="8" t="inlineStr"/>
    </row>
    <row r="103" s="35">
      <c r="A103" s="24" t="inlineStr">
        <is>
          <t>REQ-AD-024</t>
        </is>
      </c>
      <c r="B103" s="24" t="inlineStr">
        <is>
          <t>SCR-OP-007</t>
        </is>
      </c>
      <c r="C103" s="24" t="inlineStr">
        <is>
          <t>알람</t>
        </is>
      </c>
      <c r="D103" s="24" t="inlineStr">
        <is>
          <t>발생 시각</t>
        </is>
      </c>
      <c r="E103" s="24" t="inlineStr">
        <is>
          <t>ISO8601</t>
        </is>
      </c>
      <c r="F103" s="24" t="inlineStr">
        <is>
          <t>KST</t>
        </is>
      </c>
      <c r="G103" s="24" t="inlineStr">
        <is>
          <t>—</t>
        </is>
      </c>
      <c r="H103" s="24" t="inlineStr">
        <is>
          <t>E5</t>
        </is>
      </c>
      <c r="I103" s="8" t="inlineStr">
        <is>
          <t>Y</t>
        </is>
      </c>
      <c r="J103" s="8" t="inlineStr">
        <is>
          <t>—</t>
        </is>
      </c>
      <c r="K103" s="8" t="inlineStr"/>
    </row>
    <row r="104" s="35">
      <c r="A104" s="24" t="inlineStr">
        <is>
          <t>REQ-AD-024</t>
        </is>
      </c>
      <c r="B104" s="24" t="inlineStr">
        <is>
          <t>SCR-OP-007</t>
        </is>
      </c>
      <c r="C104" s="24" t="inlineStr">
        <is>
          <t>알람</t>
        </is>
      </c>
      <c r="D104" s="24" t="inlineStr">
        <is>
          <t>미확인 건수</t>
        </is>
      </c>
      <c r="E104" s="24" t="inlineStr">
        <is>
          <t>number</t>
        </is>
      </c>
      <c r="F104" s="24" t="inlineStr">
        <is>
          <t>건</t>
        </is>
      </c>
      <c r="G104" s="24" t="inlineStr">
        <is>
          <t>[파생: state === 'open' 개수]</t>
        </is>
      </c>
      <c r="H104" s="24" t="inlineStr">
        <is>
          <t>[설계]</t>
        </is>
      </c>
      <c r="I104" s="8" t="inlineStr">
        <is>
          <t>Y</t>
        </is>
      </c>
      <c r="J104" s="8" t="inlineStr">
        <is>
          <t>—</t>
        </is>
      </c>
      <c r="K104" s="8" t="inlineStr"/>
    </row>
    <row r="105" s="35">
      <c r="A105" s="24" t="inlineStr">
        <is>
          <t>REQ-AD-015</t>
        </is>
      </c>
      <c r="B105" s="24" t="inlineStr">
        <is>
          <t>SCR-OP-006</t>
        </is>
      </c>
      <c r="C105" s="24" t="inlineStr">
        <is>
          <t>운영 최적화</t>
        </is>
      </c>
      <c r="D105" s="24" t="inlineStr">
        <is>
          <t>현재 주입량</t>
        </is>
      </c>
      <c r="E105" s="24" t="inlineStr">
        <is>
          <t>number</t>
        </is>
      </c>
      <c r="F105" s="24" t="inlineStr">
        <is>
          <t>L/h</t>
        </is>
      </c>
      <c r="G105" s="24" t="inlineStr">
        <is>
          <t>—</t>
        </is>
      </c>
      <c r="H105" s="24" t="inlineStr">
        <is>
          <t>[PROVISIONAL, TBD-31] 단위·범위 없음</t>
        </is>
      </c>
      <c r="I105" s="8" t="inlineStr">
        <is>
          <t>Y</t>
        </is>
      </c>
      <c r="J105" s="8" t="inlineStr">
        <is>
          <t>—</t>
        </is>
      </c>
      <c r="K105" s="8" t="inlineStr">
        <is>
          <t>임시값 — 확정 시 src/shared/config/provisional.ts 한 파일을 교체한다 / TBD-31 원문 미확정</t>
        </is>
      </c>
    </row>
    <row r="106" s="35">
      <c r="A106" s="24" t="inlineStr">
        <is>
          <t>REQ-AD-015</t>
        </is>
      </c>
      <c r="B106" s="24" t="inlineStr">
        <is>
          <t>SCR-OP-006</t>
        </is>
      </c>
      <c r="C106" s="24" t="inlineStr">
        <is>
          <t>운영 최적화</t>
        </is>
      </c>
      <c r="D106" s="24" t="inlineStr">
        <is>
          <t>권장 주입량</t>
        </is>
      </c>
      <c r="E106" s="24" t="inlineStr">
        <is>
          <t>number</t>
        </is>
      </c>
      <c r="F106" s="24" t="inlineStr">
        <is>
          <t>L/h</t>
        </is>
      </c>
      <c r="G106" s="24" t="inlineStr">
        <is>
          <t>[파생: 현재 × (1 − 절감률)]</t>
        </is>
      </c>
      <c r="H106" s="24" t="inlineStr">
        <is>
          <t>[원문 p.32·67]</t>
        </is>
      </c>
      <c r="I106" s="8" t="inlineStr">
        <is>
          <t>Y</t>
        </is>
      </c>
      <c r="J106" s="8" t="inlineStr">
        <is>
          <t>—</t>
        </is>
      </c>
      <c r="K106" s="8" t="inlineStr"/>
    </row>
    <row r="107" s="35">
      <c r="A107" s="24" t="inlineStr">
        <is>
          <t>REQ-AD-015</t>
        </is>
      </c>
      <c r="B107" s="24" t="inlineStr">
        <is>
          <t>SCR-OP-006</t>
        </is>
      </c>
      <c r="C107" s="24" t="inlineStr">
        <is>
          <t>운영 최적화</t>
        </is>
      </c>
      <c r="D107" s="24" t="inlineStr">
        <is>
          <t>주입량 단위</t>
        </is>
      </c>
      <c r="E107" s="24" t="inlineStr">
        <is>
          <t>string</t>
        </is>
      </c>
      <c r="F107" s="24" t="inlineStr">
        <is>
          <t>—</t>
        </is>
      </c>
      <c r="G107" s="24" t="inlineStr">
        <is>
          <t>—</t>
        </is>
      </c>
      <c r="H107" s="24" t="inlineStr">
        <is>
          <t>[PROVISIONAL, TBD-31] 원문에 단위가 없다. provisional.ts가 유일한 실체</t>
        </is>
      </c>
      <c r="I107" s="8" t="inlineStr">
        <is>
          <t>Y</t>
        </is>
      </c>
      <c r="J107" s="8" t="inlineStr">
        <is>
          <t>—</t>
        </is>
      </c>
      <c r="K107" s="8" t="inlineStr">
        <is>
          <t>임시값 — 확정 시 src/shared/config/provisional.ts 한 파일을 교체한다 / TBD-31 원문 미확정</t>
        </is>
      </c>
    </row>
    <row r="108" s="35">
      <c r="A108" s="24" t="inlineStr">
        <is>
          <t>REQ-AD-015</t>
        </is>
      </c>
      <c r="B108" s="24" t="inlineStr">
        <is>
          <t>SCR-OP-006</t>
        </is>
      </c>
      <c r="C108" s="24" t="inlineStr">
        <is>
          <t>운영 최적화</t>
        </is>
      </c>
      <c r="D108" s="24" t="inlineStr">
        <is>
          <t>약품 절감률</t>
        </is>
      </c>
      <c r="E108" s="24" t="inlineStr">
        <is>
          <t>number</t>
        </is>
      </c>
      <c r="F108" s="24" t="inlineStr">
        <is>
          <t>%</t>
        </is>
      </c>
      <c r="G108" s="24" t="inlineStr">
        <is>
          <t>—</t>
        </is>
      </c>
      <c r="H108" s="24" t="inlineStr">
        <is>
          <t>[원문 p.27·31] 검증 수준 20~30%</t>
        </is>
      </c>
      <c r="I108" s="8" t="inlineStr">
        <is>
          <t>Y</t>
        </is>
      </c>
      <c r="J108" s="8" t="inlineStr">
        <is>
          <t>—</t>
        </is>
      </c>
      <c r="K108" s="8" t="inlineStr"/>
    </row>
    <row r="109" s="35">
      <c r="A109" s="24" t="inlineStr">
        <is>
          <t>REQ-AD-015</t>
        </is>
      </c>
      <c r="B109" s="24" t="inlineStr">
        <is>
          <t>SCR-OP-006</t>
        </is>
      </c>
      <c r="C109" s="24" t="inlineStr">
        <is>
          <t>운영 최적화</t>
        </is>
      </c>
      <c r="D109" s="24" t="inlineStr">
        <is>
          <t>권장 근거</t>
        </is>
      </c>
      <c r="E109" s="24" t="inlineStr">
        <is>
          <t>string[]</t>
        </is>
      </c>
      <c r="F109" s="24" t="inlineStr">
        <is>
          <t>—</t>
        </is>
      </c>
      <c r="G109" s="24" t="inlineStr">
        <is>
          <t>—</t>
        </is>
      </c>
      <c r="H109" s="24" t="inlineStr">
        <is>
          <t>E3</t>
        </is>
      </c>
      <c r="I109" s="8" t="inlineStr">
        <is>
          <t>Y</t>
        </is>
      </c>
      <c r="J109" s="8" t="inlineStr">
        <is>
          <t>—</t>
        </is>
      </c>
      <c r="K109" s="8" t="inlineStr"/>
    </row>
    <row r="110" s="35">
      <c r="A110" s="24" t="inlineStr">
        <is>
          <t>REQ-AD-016</t>
        </is>
      </c>
      <c r="B110" s="24" t="inlineStr">
        <is>
          <t>SCR-OP-006</t>
        </is>
      </c>
      <c r="C110" s="24" t="inlineStr">
        <is>
          <t>운영 최적화</t>
        </is>
      </c>
      <c r="D110" s="24" t="inlineStr">
        <is>
          <t>조정 대상 변수</t>
        </is>
      </c>
      <c r="E110" s="24" t="inlineStr">
        <is>
          <t>string</t>
        </is>
      </c>
      <c r="F110" s="24" t="inlineStr">
        <is>
          <t>—</t>
        </is>
      </c>
      <c r="G110" s="24" t="inlineStr">
        <is>
          <t>—</t>
        </is>
      </c>
      <c r="H110" s="24" t="inlineStr">
        <is>
          <t>[원문 p.67] 최적 설비 운전 조건 (폭기량, 펌프 속도 등)</t>
        </is>
      </c>
      <c r="I110" s="8" t="inlineStr">
        <is>
          <t>Y</t>
        </is>
      </c>
      <c r="J110" s="8" t="inlineStr">
        <is>
          <t>운전 조건 행 머리</t>
        </is>
      </c>
      <c r="K110" s="8" t="inlineStr"/>
    </row>
    <row r="111" s="35">
      <c r="A111" s="24" t="inlineStr">
        <is>
          <t>REQ-AD-016</t>
        </is>
      </c>
      <c r="B111" s="24" t="inlineStr">
        <is>
          <t>SCR-OP-006</t>
        </is>
      </c>
      <c r="C111" s="24" t="inlineStr">
        <is>
          <t>운영 최적화</t>
        </is>
      </c>
      <c r="D111" s="24" t="inlineStr">
        <is>
          <t>조정 대상 설비</t>
        </is>
      </c>
      <c r="E111" s="24" t="inlineStr">
        <is>
          <t>string</t>
        </is>
      </c>
      <c r="F111" s="24" t="inlineStr">
        <is>
          <t>—</t>
        </is>
      </c>
      <c r="G111" s="24" t="inlineStr">
        <is>
          <t>—</t>
        </is>
      </c>
      <c r="H111" s="24" t="inlineStr">
        <is>
          <t>[원문 p.30·62·63] 펌프·폭기장치·약품주입펌프 — 종류만 있고 대수는 없다 [TBD-48]</t>
        </is>
      </c>
      <c r="I111" s="8" t="inlineStr">
        <is>
          <t>Y</t>
        </is>
      </c>
      <c r="J111" s="8" t="inlineStr">
        <is>
          <t>같은 행</t>
        </is>
      </c>
      <c r="K111" s="8" t="inlineStr">
        <is>
          <t>TBD-48 원문 미확정</t>
        </is>
      </c>
    </row>
    <row r="112" s="35">
      <c r="A112" s="24" t="inlineStr">
        <is>
          <t>REQ-AD-016</t>
        </is>
      </c>
      <c r="B112" s="24" t="inlineStr">
        <is>
          <t>SCR-OP-006</t>
        </is>
      </c>
      <c r="C112" s="24" t="inlineStr">
        <is>
          <t>운영 최적화</t>
        </is>
      </c>
      <c r="D112" s="24" t="inlineStr">
        <is>
          <t>조정 폭</t>
        </is>
      </c>
      <c r="E112" s="24" t="inlineStr">
        <is>
          <t>number</t>
        </is>
      </c>
      <c r="F112" s="24" t="inlineStr">
        <is>
          <t>%</t>
        </is>
      </c>
      <c r="G112" s="24" t="inlineStr">
        <is>
          <t>[파생: (최근 1시간 평균 / 직전 5시간 평균 − 1) × 100 × 배율 × 부호] · 주입 속도는 [파생: −권장 주입량 절감률]</t>
        </is>
      </c>
      <c r="H112" s="24" t="inlineStr">
        <is>
          <t>방향은 원문 인과 — 폭기량 감소 → DO 저하 → 질산화 저해 → TN 증가 [원문 p.24·62] · 크기는 [PROVISIONAL] PROVISIONAL_OPERATING_GAIN — 원문이 "몇 %"를 주지 않는다 · 절대 단위 [TBD]라 상대 변화만 · 상한 20% [설계: 계측이 튀는 순간 +180%가 나오면 그것이 곧 안전 문제다. 제어는 하지 않지만(REQ-CO-002 미구현) 사람이 따라 한다]</t>
        </is>
      </c>
      <c r="I112" s="8" t="inlineStr">
        <is>
          <t>Y</t>
        </is>
      </c>
      <c r="J112" s="8" t="inlineStr">
        <is>
          <t>양방향 막대 · 수치</t>
        </is>
      </c>
      <c r="K112" s="8" t="inlineStr">
        <is>
          <t>임시값 — 확정 시 src/shared/config/provisional.ts 한 파일을 교체한다 / TBD 원문 미확정</t>
        </is>
      </c>
    </row>
    <row r="113" s="35">
      <c r="A113" s="24" t="inlineStr">
        <is>
          <t>REQ-AD-016</t>
        </is>
      </c>
      <c r="B113" s="24" t="inlineStr">
        <is>
          <t>SCR-OP-006</t>
        </is>
      </c>
      <c r="C113" s="24" t="inlineStr">
        <is>
          <t>운영 최적화</t>
        </is>
      </c>
      <c r="D113" s="24" t="inlineStr">
        <is>
          <t>관측값</t>
        </is>
      </c>
      <c r="E113" s="24" t="inlineStr">
        <is>
          <t>string</t>
        </is>
      </c>
      <c r="F113" s="24" t="inlineStr">
        <is>
          <t>항목 단위</t>
        </is>
      </c>
      <c r="G113" s="24" t="inlineStr">
        <is>
          <t>[파생: 그 항목의 최근·직전 구간 평균]</t>
        </is>
      </c>
      <c r="H113" s="24" t="inlineStr">
        <is>
          <t>E3 계측을 근거로 말하려면 그 값이 화면에 있어야 한다 — 예전에는 조정 이유가 사업장·시각과 무관한 고정 문장이라 계측을 본 판단처럼 읽혔다 [사용자 지적 2026-08-21]</t>
        </is>
      </c>
      <c r="I113" s="8" t="inlineStr">
        <is>
          <t>Y</t>
        </is>
      </c>
      <c r="J113" s="8" t="inlineStr">
        <is>
          <t>운전 조건 행 둘째 줄</t>
        </is>
      </c>
      <c r="K113" s="8" t="inlineStr"/>
    </row>
    <row r="114" s="35">
      <c r="A114" s="24" t="inlineStr">
        <is>
          <t>REQ-AD-016</t>
        </is>
      </c>
      <c r="B114" s="24" t="inlineStr">
        <is>
          <t>SCR-OP-006</t>
        </is>
      </c>
      <c r="C114" s="24" t="inlineStr">
        <is>
          <t>운영 최적화</t>
        </is>
      </c>
      <c r="D114" s="24" t="inlineStr">
        <is>
          <t>조정 이유</t>
        </is>
      </c>
      <c r="E114" s="24" t="inlineStr">
        <is>
          <t>string</t>
        </is>
      </c>
      <c r="F114" s="24" t="inlineStr">
        <is>
          <t>—</t>
        </is>
      </c>
      <c r="G114" s="24" t="inlineStr">
        <is>
          <t>—</t>
        </is>
      </c>
      <c r="H114" s="24" t="inlineStr">
        <is>
          <t>E3 방향의 근거를 태그와 함께 적는다 — [원문 p.24·62](폭기) · [설계](펌프) · [TBD-51](주입)</t>
        </is>
      </c>
      <c r="I114" s="8" t="inlineStr">
        <is>
          <t>Y</t>
        </is>
      </c>
      <c r="J114" s="8" t="inlineStr">
        <is>
          <t>운전 조건 행 셋째 줄</t>
        </is>
      </c>
      <c r="K114" s="8" t="inlineStr">
        <is>
          <t>TBD-51 원문 미확정</t>
        </is>
      </c>
    </row>
    <row r="115" s="35">
      <c r="A115" s="24" t="inlineStr">
        <is>
          <t>REQ-AD-016</t>
        </is>
      </c>
      <c r="B115" s="24" t="inlineStr">
        <is>
          <t>SCR-OP-006</t>
        </is>
      </c>
      <c r="C115" s="24" t="inlineStr">
        <is>
          <t>운영 최적화</t>
        </is>
      </c>
      <c r="D115" s="24" t="inlineStr">
        <is>
          <t>계측 신호</t>
        </is>
      </c>
      <c r="E115" s="24" t="inlineStr">
        <is>
          <t>OperatingSignals</t>
        </is>
      </c>
      <c r="F115" s="24" t="inlineStr">
        <is>
          <t>항목 단위</t>
        </is>
      </c>
      <c r="G115" s="24" t="inlineStr">
        <is>
          <t>[파생: DO·유량의 최근 1시간 vs 직전 5시간 평균과 그 비율]</t>
        </is>
      </c>
      <c r="H115" s="24" t="inlineStr">
        <is>
          <t>[설계] 위젯이 계산해 넣는다 — 계열은 measurement의 것이고 slice끼리 참조하지 않는다(FSD ). 에너지 효율의 현재값을 넘겨받는 것과 같은 구조 · 넘기지 않으면 운전 조건을 만들지 않는다(E4)</t>
        </is>
      </c>
      <c r="I115" s="8" t="inlineStr">
        <is>
          <t>N</t>
        </is>
      </c>
      <c r="J115" s="8" t="inlineStr">
        <is>
          <t>내부</t>
        </is>
      </c>
      <c r="K115" s="8" t="inlineStr"/>
    </row>
    <row r="116" s="35">
      <c r="A116" s="24" t="inlineStr">
        <is>
          <t>REQ-AD-017</t>
        </is>
      </c>
      <c r="B116" s="24" t="inlineStr">
        <is>
          <t>SCR-OP-006</t>
        </is>
      </c>
      <c r="C116" s="24" t="inlineStr">
        <is>
          <t>운영 최적화</t>
        </is>
      </c>
      <c r="D116" s="24" t="inlineStr">
        <is>
          <t>현재 에너지 효율</t>
        </is>
      </c>
      <c r="E116" s="24" t="inlineStr">
        <is>
          <t>number | null</t>
        </is>
      </c>
      <c r="F116" s="24" t="inlineStr">
        <is>
          <t>kWh/m³</t>
        </is>
      </c>
      <c r="G116" s="24" t="inlineStr">
        <is>
          <t>[파생: 평균전력 × 24 ÷ 평균유량]</t>
        </is>
      </c>
      <c r="H116" s="24" t="inlineStr">
        <is>
          <t>[원문 p.67] 단위</t>
        </is>
      </c>
      <c r="I116" s="8" t="inlineStr">
        <is>
          <t>Y</t>
        </is>
      </c>
      <c r="J116" s="8" t="inlineStr">
        <is>
          <t>—</t>
        </is>
      </c>
      <c r="K116" s="8" t="inlineStr"/>
    </row>
    <row r="117" s="35">
      <c r="A117" s="24" t="inlineStr">
        <is>
          <t>REQ-AD-017</t>
        </is>
      </c>
      <c r="B117" s="24" t="inlineStr">
        <is>
          <t>SCR-OP-006</t>
        </is>
      </c>
      <c r="C117" s="24" t="inlineStr">
        <is>
          <t>운영 최적화</t>
        </is>
      </c>
      <c r="D117" s="24" t="inlineStr">
        <is>
          <t>목표 에너지 효율</t>
        </is>
      </c>
      <c r="E117" s="24" t="inlineStr">
        <is>
          <t>number | null</t>
        </is>
      </c>
      <c r="F117" s="24" t="inlineStr">
        <is>
          <t>kWh/m³</t>
        </is>
      </c>
      <c r="G117" s="24" t="inlineStr">
        <is>
          <t>[파생: 현재 × (1 − 10%)]</t>
        </is>
      </c>
      <c r="H117" s="24" t="inlineStr">
        <is>
          <t>[원문 p.27·64]</t>
        </is>
      </c>
      <c r="I117" s="8" t="inlineStr">
        <is>
          <t>Y</t>
        </is>
      </c>
      <c r="J117" s="8" t="inlineStr">
        <is>
          <t>—</t>
        </is>
      </c>
      <c r="K117" s="8" t="inlineStr"/>
    </row>
    <row r="118" s="35">
      <c r="A118" s="24" t="inlineStr">
        <is>
          <t>REQ-AD-017</t>
        </is>
      </c>
      <c r="B118" s="24" t="inlineStr">
        <is>
          <t>SCR-OP-006</t>
        </is>
      </c>
      <c r="C118" s="24" t="inlineStr">
        <is>
          <t>운영 최적화</t>
        </is>
      </c>
      <c r="D118" s="24" t="inlineStr">
        <is>
          <t>에너지 절감률</t>
        </is>
      </c>
      <c r="E118" s="24" t="inlineStr">
        <is>
          <t>number</t>
        </is>
      </c>
      <c r="F118" s="24" t="inlineStr">
        <is>
          <t>%</t>
        </is>
      </c>
      <c r="G118" s="24" t="inlineStr">
        <is>
          <t>—</t>
        </is>
      </c>
      <c r="H118" s="24" t="inlineStr">
        <is>
          <t>[원문 p.27·64] ≥10%</t>
        </is>
      </c>
      <c r="I118" s="8" t="inlineStr">
        <is>
          <t>Y</t>
        </is>
      </c>
      <c r="J118" s="8" t="inlineStr">
        <is>
          <t>—</t>
        </is>
      </c>
      <c r="K118" s="8" t="inlineStr"/>
    </row>
    <row r="119" s="35">
      <c r="A119" s="24" t="inlineStr">
        <is>
          <t>REQ-AD-005</t>
        </is>
      </c>
      <c r="B119" s="24" t="inlineStr">
        <is>
          <t>SCR-OP-006</t>
        </is>
      </c>
      <c r="C119" s="24" t="inlineStr">
        <is>
          <t>운영 최적화</t>
        </is>
      </c>
      <c r="D119" s="24" t="inlineStr">
        <is>
          <t>산출 시각·대상 기간·모델</t>
        </is>
      </c>
      <c r="E119" s="24" t="inlineStr">
        <is>
          <t>string</t>
        </is>
      </c>
      <c r="F119" s="24" t="inlineStr">
        <is>
          <t>—</t>
        </is>
      </c>
      <c r="G119" s="24" t="inlineStr">
        <is>
          <t>—</t>
        </is>
      </c>
      <c r="H119" s="24" t="inlineStr">
        <is>
          <t>E3</t>
        </is>
      </c>
      <c r="I119" s="8" t="inlineStr">
        <is>
          <t>Y</t>
        </is>
      </c>
      <c r="J119" s="8" t="inlineStr">
        <is>
          <t>—</t>
        </is>
      </c>
      <c r="K119" s="8" t="inlineStr"/>
    </row>
    <row r="120" s="35">
      <c r="A120" s="24" t="inlineStr">
        <is>
          <t>REQ-AD-015</t>
        </is>
      </c>
      <c r="B120" s="24" t="inlineStr">
        <is>
          <t>SCR-OP-006</t>
        </is>
      </c>
      <c r="C120" s="24" t="inlineStr">
        <is>
          <t>운영 최적화</t>
        </is>
      </c>
      <c r="D120" s="24" t="inlineStr">
        <is>
          <t>통신 상태</t>
        </is>
      </c>
      <c r="E120" s="24" t="inlineStr">
        <is>
          <t>boolean</t>
        </is>
      </c>
      <c r="F120" s="24" t="inlineStr">
        <is>
          <t>—</t>
        </is>
      </c>
      <c r="G120" s="24" t="inlineStr">
        <is>
          <t>—</t>
        </is>
      </c>
      <c r="H120" s="24" t="inlineStr">
        <is>
          <t>[설계] 두절이면 권장값이 아예 없다 — 판별 유니온으로 두 상태를 분리</t>
        </is>
      </c>
      <c r="I120" s="8" t="inlineStr">
        <is>
          <t>N</t>
        </is>
      </c>
      <c r="J120" s="8" t="inlineStr">
        <is>
          <t>—</t>
        </is>
      </c>
      <c r="K120" s="8" t="inlineStr"/>
    </row>
    <row r="121" s="35">
      <c r="A121" s="24" t="inlineStr">
        <is>
          <t>REQ-AD-015</t>
        </is>
      </c>
      <c r="B121" s="24" t="inlineStr">
        <is>
          <t>SCR-AD-001</t>
        </is>
      </c>
      <c r="C121" s="24" t="inlineStr">
        <is>
          <t>비용 절감 파생값</t>
        </is>
      </c>
      <c r="D121" s="24" t="inlineStr">
        <is>
          <t>약품비 절감률</t>
        </is>
      </c>
      <c r="E121" s="24" t="inlineStr">
        <is>
          <t>number</t>
        </is>
      </c>
      <c r="F121" s="24" t="inlineStr">
        <is>
          <t>%</t>
        </is>
      </c>
      <c r="G121" s="24" t="inlineStr">
        <is>
          <t>—</t>
        </is>
      </c>
      <c r="H121" s="24" t="inlineStr">
        <is>
          <t>[원문 p.27·31] 검증 수준 20~30%</t>
        </is>
      </c>
      <c r="I121" s="8" t="inlineStr">
        <is>
          <t>Y</t>
        </is>
      </c>
      <c r="J121" s="8" t="inlineStr">
        <is>
          <t>—</t>
        </is>
      </c>
      <c r="K121" s="8" t="inlineStr"/>
    </row>
    <row r="122" s="35">
      <c r="A122" s="24" t="inlineStr">
        <is>
          <t>REQ-AD-017</t>
        </is>
      </c>
      <c r="B122" s="24" t="inlineStr">
        <is>
          <t>SCR-AD-001</t>
        </is>
      </c>
      <c r="C122" s="24" t="inlineStr">
        <is>
          <t>비용 절감 파생값</t>
        </is>
      </c>
      <c r="D122" s="24" t="inlineStr">
        <is>
          <t>전력비 절감률</t>
        </is>
      </c>
      <c r="E122" s="24" t="inlineStr">
        <is>
          <t>number</t>
        </is>
      </c>
      <c r="F122" s="24" t="inlineStr">
        <is>
          <t>%</t>
        </is>
      </c>
      <c r="G122" s="24" t="inlineStr">
        <is>
          <t>—</t>
        </is>
      </c>
      <c r="H122" s="24" t="inlineStr">
        <is>
          <t>[원문 p.27·64] 목표 ≥10% — fixture는 목표값을 적용한다</t>
        </is>
      </c>
      <c r="I122" s="8" t="inlineStr">
        <is>
          <t>Y</t>
        </is>
      </c>
      <c r="J122" s="8" t="inlineStr">
        <is>
          <t>—</t>
        </is>
      </c>
      <c r="K122" s="8" t="inlineStr"/>
    </row>
    <row r="123" s="35">
      <c r="A123" s="24" t="inlineStr">
        <is>
          <t>REQ-AD-015·017</t>
        </is>
      </c>
      <c r="B123" s="24" t="inlineStr">
        <is>
          <t>SCR-AD-001</t>
        </is>
      </c>
      <c r="C123" s="24" t="inlineStr">
        <is>
          <t>비용 절감 파생값</t>
        </is>
      </c>
      <c r="D123" s="24" t="inlineStr">
        <is>
          <t>총 운영비 절감률</t>
        </is>
      </c>
      <c r="E123" s="24" t="inlineStr">
        <is>
          <t>number</t>
        </is>
      </c>
      <c r="F123" s="24" t="inlineStr">
        <is>
          <t>%</t>
        </is>
      </c>
      <c r="G123" s="24" t="inlineStr">
        <is>
          <t>[파생: (약품 절감액 + 전력 절감액) ÷ (연 약품비 + 연 전력비)] 금액 가중이지 두 비율의 평균이 아니다</t>
        </is>
      </c>
      <c r="H123" s="24" t="inlineStr">
        <is>
          <t>[원문 p.27·31·64] 목표 ≥12%</t>
        </is>
      </c>
      <c r="I123" s="8" t="inlineStr">
        <is>
          <t>Y</t>
        </is>
      </c>
      <c r="J123" s="8" t="inlineStr">
        <is>
          <t>—</t>
        </is>
      </c>
      <c r="K123" s="8" t="inlineStr"/>
    </row>
    <row r="124" s="35">
      <c r="A124" s="24" t="inlineStr">
        <is>
          <t>REQ-AD-015</t>
        </is>
      </c>
      <c r="B124" s="24" t="inlineStr">
        <is>
          <t>SCR-AD-001</t>
        </is>
      </c>
      <c r="C124" s="24" t="inlineStr">
        <is>
          <t>비용 절감 파생값</t>
        </is>
      </c>
      <c r="D124" s="24" t="inlineStr">
        <is>
          <t>약품비 연 절감액</t>
        </is>
      </c>
      <c r="E124" s="24" t="inlineStr">
        <is>
          <t>number</t>
        </is>
      </c>
      <c r="F124" s="24" t="inlineStr">
        <is>
          <t>원</t>
        </is>
      </c>
      <c r="G124" s="24" t="inlineStr">
        <is>
          <t>[파생: 연 약품비 × 절감률]</t>
        </is>
      </c>
      <c r="H124" s="24" t="inlineStr">
        <is>
          <t>기준액 [원문 p.34·40] 연 1,000만 원</t>
        </is>
      </c>
      <c r="I124" s="8" t="inlineStr">
        <is>
          <t>Y</t>
        </is>
      </c>
      <c r="J124" s="8" t="inlineStr">
        <is>
          <t>—</t>
        </is>
      </c>
      <c r="K124" s="8" t="inlineStr"/>
    </row>
    <row r="125" s="35">
      <c r="A125" s="24" t="inlineStr">
        <is>
          <t>REQ-AD-017</t>
        </is>
      </c>
      <c r="B125" s="24" t="inlineStr">
        <is>
          <t>SCR-AD-001</t>
        </is>
      </c>
      <c r="C125" s="24" t="inlineStr">
        <is>
          <t>비용 절감 파생값</t>
        </is>
      </c>
      <c r="D125" s="24" t="inlineStr">
        <is>
          <t>전력비 연 절감액</t>
        </is>
      </c>
      <c r="E125" s="24" t="inlineStr">
        <is>
          <t>number</t>
        </is>
      </c>
      <c r="F125" s="24" t="inlineStr">
        <is>
          <t>원</t>
        </is>
      </c>
      <c r="G125" s="24" t="inlineStr">
        <is>
          <t>[파생: 연 전력비 × 절감률]</t>
        </is>
      </c>
      <c r="H125" s="24" t="inlineStr">
        <is>
          <t>기준액 [원문 p.34·40] 연 500만 원</t>
        </is>
      </c>
      <c r="I125" s="8" t="inlineStr">
        <is>
          <t>Y</t>
        </is>
      </c>
      <c r="J125" s="8" t="inlineStr">
        <is>
          <t>—</t>
        </is>
      </c>
      <c r="K125" s="8" t="inlineStr"/>
    </row>
    <row r="126" s="35">
      <c r="A126" s="24" t="inlineStr">
        <is>
          <t>REQ-AD-015·017</t>
        </is>
      </c>
      <c r="B126" s="24" t="inlineStr">
        <is>
          <t>SCR-AD-001</t>
        </is>
      </c>
      <c r="C126" s="24" t="inlineStr">
        <is>
          <t>비용 절감 파생값</t>
        </is>
      </c>
      <c r="D126" s="24" t="inlineStr">
        <is>
          <t>연 절감액</t>
        </is>
      </c>
      <c r="E126" s="24" t="inlineStr">
        <is>
          <t>number</t>
        </is>
      </c>
      <c r="F126" s="24" t="inlineStr">
        <is>
          <t>원</t>
        </is>
      </c>
      <c r="G126" s="24" t="inlineStr">
        <is>
          <t>[파생: 약품 + 전력] 사고 회피를 넣지 않는다</t>
        </is>
      </c>
      <c r="H126" s="24" t="inlineStr">
        <is>
          <t>[설계: 실측 기반과 가정 기반을 합치지 않는다]</t>
        </is>
      </c>
      <c r="I126" s="8" t="inlineStr">
        <is>
          <t>Y</t>
        </is>
      </c>
      <c r="J126" s="8" t="inlineStr">
        <is>
          <t>—</t>
        </is>
      </c>
      <c r="K126" s="8" t="inlineStr"/>
    </row>
    <row r="127" s="35">
      <c r="A127" s="24" t="inlineStr">
        <is>
          <t>REQ-AD-015·017</t>
        </is>
      </c>
      <c r="B127" s="24" t="inlineStr">
        <is>
          <t>SCR-AD-001</t>
        </is>
      </c>
      <c r="C127" s="24" t="inlineStr">
        <is>
          <t>비용 절감 파생값</t>
        </is>
      </c>
      <c r="D127" s="24" t="inlineStr">
        <is>
          <t>월 절감액</t>
        </is>
      </c>
      <c r="E127" s="24" t="inlineStr">
        <is>
          <t>number</t>
        </is>
      </c>
      <c r="F127" s="24" t="inlineStr">
        <is>
          <t>원</t>
        </is>
      </c>
      <c r="G127" s="24" t="inlineStr">
        <is>
          <t>[파생: 연 절감액 ÷ 12]</t>
        </is>
      </c>
      <c r="H127" s="24" t="inlineStr">
        <is>
          <t>[설계]</t>
        </is>
      </c>
      <c r="I127" s="8" t="inlineStr">
        <is>
          <t>Y</t>
        </is>
      </c>
      <c r="J127" s="8" t="inlineStr">
        <is>
          <t>—</t>
        </is>
      </c>
      <c r="K127" s="8" t="inlineStr"/>
    </row>
    <row r="128" s="35">
      <c r="A128" s="24" t="inlineStr">
        <is>
          <t>REQ-AD-012</t>
        </is>
      </c>
      <c r="B128" s="24" t="inlineStr">
        <is>
          <t>SCR-AD-001</t>
        </is>
      </c>
      <c r="C128" s="24" t="inlineStr">
        <is>
          <t>비용 절감 파생값</t>
        </is>
      </c>
      <c r="D128" s="24" t="inlineStr">
        <is>
          <t>조기 탐지 건수</t>
        </is>
      </c>
      <c r="E128" s="24" t="inlineStr">
        <is>
          <t>number</t>
        </is>
      </c>
      <c r="F128" s="24" t="inlineStr">
        <is>
          <t>건</t>
        </is>
      </c>
      <c r="G128" s="24" t="inlineStr">
        <is>
          <t>[파생: 사업장의 이상 탐지 알람 수. 확인·조치 상태를 가리지 않는다]</t>
        </is>
      </c>
      <c r="H128" s="24" t="inlineStr">
        <is>
          <t>[설계]</t>
        </is>
      </c>
      <c r="I128" s="8" t="inlineStr">
        <is>
          <t>Y</t>
        </is>
      </c>
      <c r="J128" s="8" t="inlineStr">
        <is>
          <t>—</t>
        </is>
      </c>
      <c r="K128" s="8" t="inlineStr"/>
    </row>
    <row r="129" s="35">
      <c r="A129" s="24" t="inlineStr">
        <is>
          <t>REQ-AD-012</t>
        </is>
      </c>
      <c r="B129" s="24" t="inlineStr">
        <is>
          <t>SCR-AD-001</t>
        </is>
      </c>
      <c r="C129" s="24" t="inlineStr">
        <is>
          <t>비용 절감 파생값</t>
        </is>
      </c>
      <c r="D129" s="24" t="inlineStr">
        <is>
          <t>회피 가능 비용</t>
        </is>
      </c>
      <c r="E129" s="24" t="inlineStr">
        <is>
          <t>[number, number]</t>
        </is>
      </c>
      <c r="F129" s="24" t="inlineStr">
        <is>
          <t>원</t>
        </is>
      </c>
      <c r="G129" s="24" t="inlineStr">
        <is>
          <t>[파생: 건수 × 1,500만] ~ [파생: 건수 × 2,500만]</t>
        </is>
      </c>
      <c r="H129" s="24" t="inlineStr">
        <is>
          <t>[INC-93] 원문이 두 값을 준다(p.34·p.40). 하나를 고르지 않는다</t>
        </is>
      </c>
      <c r="I129" s="8" t="inlineStr">
        <is>
          <t>Y</t>
        </is>
      </c>
      <c r="J129" s="8" t="inlineStr">
        <is>
          <t>—</t>
        </is>
      </c>
      <c r="K129" s="8" t="inlineStr">
        <is>
          <t>INC-93 원문 모순 — 채택안은 출처 열에 적었다</t>
        </is>
      </c>
    </row>
    <row r="130" s="35">
      <c r="A130" s="24" t="inlineStr">
        <is>
          <t>—</t>
        </is>
      </c>
      <c r="B130" s="24" t="inlineStr">
        <is>
          <t>SCR-AD-001</t>
        </is>
      </c>
      <c r="C130" s="24" t="inlineStr">
        <is>
          <t>비용 절감 파생값</t>
        </is>
      </c>
      <c r="D130" s="24" t="inlineStr">
        <is>
          <t>TMS 구축 비용 회피</t>
        </is>
      </c>
      <c r="E130" s="24" t="inlineStr">
        <is>
          <t>[number, number]</t>
        </is>
      </c>
      <c r="F130" s="24" t="inlineStr">
        <is>
          <t>원</t>
        </is>
      </c>
      <c r="G130" s="24" t="inlineStr">
        <is>
          <t>—</t>
        </is>
      </c>
      <c r="H130" s="24" t="inlineStr">
        <is>
          <t>[원문 p.40] 1.5억~2.5억(초년도) · 구축비 값 병존 [INC-36]</t>
        </is>
      </c>
      <c r="I130" s="8" t="inlineStr">
        <is>
          <t>Y</t>
        </is>
      </c>
      <c r="J130" s="8" t="inlineStr">
        <is>
          <t>—</t>
        </is>
      </c>
      <c r="K130" s="8" t="inlineStr">
        <is>
          <t>INC-36 원문 모순 — 채택안은 출처 열에 적었다</t>
        </is>
      </c>
    </row>
    <row r="131" s="35">
      <c r="A131" s="24" t="inlineStr">
        <is>
          <t>—</t>
        </is>
      </c>
      <c r="B131" s="24" t="inlineStr">
        <is>
          <t>SCR-AD-001</t>
        </is>
      </c>
      <c r="C131" s="24" t="inlineStr">
        <is>
          <t>비용 절감 파생값</t>
        </is>
      </c>
      <c r="D131" s="24" t="inlineStr">
        <is>
          <t>원문 연 절감 합계</t>
        </is>
      </c>
      <c r="E131" s="24" t="inlineStr">
        <is>
          <t>[number, number]</t>
        </is>
      </c>
      <c r="F131" s="24" t="inlineStr">
        <is>
          <t>원</t>
        </is>
      </c>
      <c r="G131" s="24" t="inlineStr">
        <is>
          <t>—</t>
        </is>
      </c>
      <c r="H131" s="24" t="inlineStr">
        <is>
          <t>[원문 p.40] 2,750~3,350만 · 항목 합계와 상한이 다르다 [INC-70]</t>
        </is>
      </c>
      <c r="I131" s="8" t="inlineStr">
        <is>
          <t>Y</t>
        </is>
      </c>
      <c r="J131" s="8" t="inlineStr">
        <is>
          <t>—</t>
        </is>
      </c>
      <c r="K131" s="8" t="inlineStr">
        <is>
          <t>INC-70 원문 모순 — 채택안은 출처 열에 적었다</t>
        </is>
      </c>
    </row>
    <row r="132" s="35">
      <c r="A132" s="24" t="inlineStr">
        <is>
          <t>REQ-AD-029</t>
        </is>
      </c>
      <c r="B132" s="24" t="inlineStr">
        <is>
          <t>SCR-OP-008</t>
        </is>
      </c>
      <c r="C132" s="24" t="inlineStr">
        <is>
          <t>리포트 집계</t>
        </is>
      </c>
      <c r="D132" s="24" t="inlineStr">
        <is>
          <t>최신 이상 점수</t>
        </is>
      </c>
      <c r="E132" s="24" t="inlineStr">
        <is>
          <t>number | null</t>
        </is>
      </c>
      <c r="F132" s="24" t="inlineStr">
        <is>
          <t>점</t>
        </is>
      </c>
      <c r="G132" s="24" t="inlineStr">
        <is>
          <t>[파생: 선택 기간 계열의 마지막 값]</t>
        </is>
      </c>
      <c r="H132" s="24" t="inlineStr">
        <is>
          <t>[파생] 원본은 이상 점수 표의 값</t>
        </is>
      </c>
      <c r="I132" s="8" t="inlineStr">
        <is>
          <t>Y</t>
        </is>
      </c>
      <c r="J132" s="8" t="inlineStr">
        <is>
          <t>리포트 집계표 최신</t>
        </is>
      </c>
      <c r="K132" s="8" t="inlineStr"/>
    </row>
    <row r="133" s="35">
      <c r="A133" s="24" t="inlineStr">
        <is>
          <t>REQ-AD-029</t>
        </is>
      </c>
      <c r="B133" s="24" t="inlineStr">
        <is>
          <t>SCR-OP-008</t>
        </is>
      </c>
      <c r="C133" s="24" t="inlineStr">
        <is>
          <t>리포트 집계</t>
        </is>
      </c>
      <c r="D133" s="24" t="inlineStr">
        <is>
          <t>최대 이상 점수</t>
        </is>
      </c>
      <c r="E133" s="24" t="inlineStr">
        <is>
          <t>number | null</t>
        </is>
      </c>
      <c r="F133" s="24" t="inlineStr">
        <is>
          <t>점</t>
        </is>
      </c>
      <c r="G133" s="24" t="inlineStr">
        <is>
          <t>[파생: 결측 제외 max]</t>
        </is>
      </c>
      <c r="H133" s="24" t="inlineStr">
        <is>
          <t>[파생] 원본은 이상 점수 표의 값</t>
        </is>
      </c>
      <c r="I133" s="8" t="inlineStr">
        <is>
          <t>Y</t>
        </is>
      </c>
      <c r="J133" s="8" t="inlineStr">
        <is>
          <t>리포트 집계표 최대</t>
        </is>
      </c>
      <c r="K133" s="8" t="inlineStr"/>
    </row>
    <row r="134" s="35">
      <c r="A134" s="24" t="inlineStr">
        <is>
          <t>REQ-AD-029</t>
        </is>
      </c>
      <c r="B134" s="24" t="inlineStr">
        <is>
          <t>SCR-OP-008</t>
        </is>
      </c>
      <c r="C134" s="24" t="inlineStr">
        <is>
          <t>리포트 집계</t>
        </is>
      </c>
      <c r="D134" s="24" t="inlineStr">
        <is>
          <t>평균 이상 점수</t>
        </is>
      </c>
      <c r="E134" s="24" t="inlineStr">
        <is>
          <t>number | null</t>
        </is>
      </c>
      <c r="F134" s="24" t="inlineStr">
        <is>
          <t>점</t>
        </is>
      </c>
      <c r="G134" s="24" t="inlineStr">
        <is>
          <t>[파생: 결측 제외 평균] · 표시 자릿수 1 [PROVISIONAL]</t>
        </is>
      </c>
      <c r="H134" s="24" t="inlineStr">
        <is>
          <t>[파생] 원본은 이상 점수 표의 값 · E4 결측 제외</t>
        </is>
      </c>
      <c r="I134" s="8" t="inlineStr">
        <is>
          <t>Y</t>
        </is>
      </c>
      <c r="J134" s="8" t="inlineStr">
        <is>
          <t>리포트 집계표 평균</t>
        </is>
      </c>
      <c r="K134" s="8" t="inlineStr">
        <is>
          <t>임시값 — 확정 시 src/shared/config/provisional.ts 한 파일을 교체한다</t>
        </is>
      </c>
    </row>
    <row r="135" s="35">
      <c r="A135" s="24" t="inlineStr">
        <is>
          <t>REQ-AD-029</t>
        </is>
      </c>
      <c r="B135" s="24" t="inlineStr">
        <is>
          <t>SCR-OP-008</t>
        </is>
      </c>
      <c r="C135" s="24" t="inlineStr">
        <is>
          <t>리포트 집계</t>
        </is>
      </c>
      <c r="D135" s="24" t="inlineStr">
        <is>
          <t>결측 표본 수</t>
        </is>
      </c>
      <c r="E135" s="24" t="inlineStr">
        <is>
          <t>number</t>
        </is>
      </c>
      <c r="F135" s="24" t="inlineStr">
        <is>
          <t>건</t>
        </is>
      </c>
      <c r="G135" s="24" t="inlineStr">
        <is>
          <t>[파생: null 개수]</t>
        </is>
      </c>
      <c r="H135" s="24" t="inlineStr">
        <is>
          <t>[파생] E4 — 0으로 채우지 않는다</t>
        </is>
      </c>
      <c r="I135" s="8" t="inlineStr">
        <is>
          <t>Y</t>
        </is>
      </c>
      <c r="J135" s="8" t="inlineStr">
        <is>
          <t>요약표·집계표 결측</t>
        </is>
      </c>
      <c r="K135" s="8" t="inlineStr"/>
    </row>
    <row r="136" s="35">
      <c r="A136" s="24" t="inlineStr">
        <is>
          <t>REQ-AD-029</t>
        </is>
      </c>
      <c r="B136" s="24" t="inlineStr">
        <is>
          <t>SCR-OP-008</t>
        </is>
      </c>
      <c r="C136" s="24" t="inlineStr">
        <is>
          <t>리포트 집계</t>
        </is>
      </c>
      <c r="D136" s="24" t="inlineStr">
        <is>
          <t>전체 표본 수</t>
        </is>
      </c>
      <c r="E136" s="24" t="inlineStr">
        <is>
          <t>number</t>
        </is>
      </c>
      <c r="F136" s="24" t="inlineStr">
        <is>
          <t>건</t>
        </is>
      </c>
      <c r="G136" s="24" t="inlineStr">
        <is>
          <t>[파생: 구간 표본 수]</t>
        </is>
      </c>
      <c r="H136" s="24" t="inlineStr">
        <is>
          <t>[파생] 구간 길이 ÷ 수집 주기</t>
        </is>
      </c>
      <c r="I136" s="8" t="inlineStr">
        <is>
          <t>Y</t>
        </is>
      </c>
      <c r="J136" s="8" t="inlineStr">
        <is>
          <t>요약표·집계표 결측 분모</t>
        </is>
      </c>
      <c r="K136" s="8" t="inlineStr"/>
    </row>
    <row r="137" s="35">
      <c r="A137" s="24" t="inlineStr">
        <is>
          <t>REQ-AD-029</t>
        </is>
      </c>
      <c r="B137" s="24" t="inlineStr">
        <is>
          <t>SCR-OP-008</t>
        </is>
      </c>
      <c r="C137" s="24" t="inlineStr">
        <is>
          <t>리포트 집계</t>
        </is>
      </c>
      <c r="D137" s="24" t="inlineStr">
        <is>
          <t>알람 건수(우선순위별)</t>
        </is>
      </c>
      <c r="E137" s="24" t="inlineStr">
        <is>
          <t>number</t>
        </is>
      </c>
      <c r="F137" s="24" t="inlineStr">
        <is>
          <t>건</t>
        </is>
      </c>
      <c r="G137" s="24" t="inlineStr">
        <is>
          <t>[파생: 사업장별 우선순위 집계]</t>
        </is>
      </c>
      <c r="H137" s="24" t="inlineStr">
        <is>
          <t>[파생] 원본은 알람 표의 값 · 우선순위 [원문 p.32]</t>
        </is>
      </c>
      <c r="I137" s="8" t="inlineStr">
        <is>
          <t>Y</t>
        </is>
      </c>
      <c r="J137" s="8" t="inlineStr">
        <is>
          <t>리포트 집계표 알람 3열</t>
        </is>
      </c>
      <c r="K137" s="8" t="inlineStr"/>
    </row>
    <row r="138" s="35">
      <c r="A138" s="24" t="inlineStr">
        <is>
          <t>REQ-CO-012</t>
        </is>
      </c>
      <c r="B138" s="24" t="inlineStr">
        <is>
          <t>SCR-CO-001</t>
        </is>
      </c>
      <c r="C138" s="24" t="inlineStr">
        <is>
          <t>사용자·역할</t>
        </is>
      </c>
      <c r="D138" s="24" t="inlineStr">
        <is>
          <t>역할</t>
        </is>
      </c>
      <c r="E138" s="24" t="inlineStr">
        <is>
          <t>site|gov|system</t>
        </is>
      </c>
      <c r="F138" s="24" t="inlineStr">
        <is>
          <t>—</t>
        </is>
      </c>
      <c r="G138" s="24" t="inlineStr">
        <is>
          <t>—</t>
        </is>
      </c>
      <c r="H138" s="24" t="inlineStr">
        <is>
          <t>[회의 2026-08-20] 사업장·기초지자체·시스템 관리자 — 원문 p.69의 관리자/운영자/게스트를 대체했다(회의가 원문을 이긴다, 설계 명세 색인)</t>
        </is>
      </c>
      <c r="I138" s="8" t="inlineStr">
        <is>
          <t>Y</t>
        </is>
      </c>
      <c r="J138" s="8" t="inlineStr">
        <is>
          <t>헤더 프로필 메뉴</t>
        </is>
      </c>
      <c r="K138" s="8" t="inlineStr"/>
    </row>
    <row r="139" s="35">
      <c r="A139" s="24" t="inlineStr">
        <is>
          <t>REQ-CO-012</t>
        </is>
      </c>
      <c r="B139" s="24" t="inlineStr">
        <is>
          <t>SCR-CO-001</t>
        </is>
      </c>
      <c r="C139" s="24" t="inlineStr">
        <is>
          <t>사용자·역할</t>
        </is>
      </c>
      <c r="D139" s="24" t="inlineStr">
        <is>
          <t>역할 라벨</t>
        </is>
      </c>
      <c r="E139" s="24" t="inlineStr">
        <is>
          <t>string</t>
        </is>
      </c>
      <c r="F139" s="24" t="inlineStr">
        <is>
          <t>—</t>
        </is>
      </c>
      <c r="G139" s="24" t="inlineStr">
        <is>
          <t>—</t>
        </is>
      </c>
      <c r="H139" s="24" t="inlineStr">
        <is>
          <t>[회의 2026-08-20] 시스템 관리자 · 사업장 · 기초지자체 (개명 [사용자 요청 2026-08-24])</t>
        </is>
      </c>
      <c r="I139" s="8" t="inlineStr">
        <is>
          <t>Y</t>
        </is>
      </c>
      <c r="J139" s="8" t="inlineStr">
        <is>
          <t>역할 전환 버튼</t>
        </is>
      </c>
      <c r="K139" s="8" t="inlineStr"/>
    </row>
    <row r="140" s="35">
      <c r="A140" s="24" t="inlineStr">
        <is>
          <t>REQ-CO-012</t>
        </is>
      </c>
      <c r="B140" s="24" t="inlineStr">
        <is>
          <t>SCR-CO-001</t>
        </is>
      </c>
      <c r="C140" s="24" t="inlineStr">
        <is>
          <t>사용자·역할</t>
        </is>
      </c>
      <c r="D140" s="24" t="inlineStr">
        <is>
          <t>역할 주체</t>
        </is>
      </c>
      <c r="E140" s="24" t="inlineStr">
        <is>
          <t>string</t>
        </is>
      </c>
      <c r="F140" s="24" t="inlineStr">
        <is>
          <t>—</t>
        </is>
      </c>
      <c r="G140" s="24" t="inlineStr">
        <is>
          <t>—</t>
        </is>
      </c>
      <c r="H140" s="24" t="inlineStr">
        <is>
          <t>[회의 2026-08-20] 사업장=사업주·현장 담당자 · 기초지자체=기초자치단체 공무원 / 시스템 관리자=전체 총괄</t>
        </is>
      </c>
      <c r="I140" s="8" t="inlineStr">
        <is>
          <t>Y</t>
        </is>
      </c>
      <c r="J140" s="8" t="inlineStr">
        <is>
          <t>역할 전환 설명</t>
        </is>
      </c>
      <c r="K140" s="8" t="inlineStr"/>
    </row>
    <row r="141" s="35">
      <c r="A141" s="24" t="inlineStr">
        <is>
          <t>REQ-CO-012</t>
        </is>
      </c>
      <c r="B141" s="24" t="inlineStr">
        <is>
          <t>SCR-CO-001</t>
        </is>
      </c>
      <c r="C141" s="24" t="inlineStr">
        <is>
          <t>사용자·역할</t>
        </is>
      </c>
      <c r="D141" s="24" t="inlineStr">
        <is>
          <t>범위</t>
        </is>
      </c>
      <c r="E141" s="24" t="inlineStr">
        <is>
          <t>all-sites|own-municipality|own-site</t>
        </is>
      </c>
      <c r="F141" s="24" t="inlineStr">
        <is>
          <t>—</t>
        </is>
      </c>
      <c r="G141" s="24" t="inlineStr">
        <is>
          <t>—</t>
        </is>
      </c>
      <c r="H141" s="24" t="inlineStr">
        <is>
          <t>[회의 2026-08-20] 원문에 없다 [TBD-08] · own-municipality는 타입에만 있고 필터가 없다(기초지자체 구현 보류 [사용자 지시 2026-08-20])</t>
        </is>
      </c>
      <c r="I141" s="8" t="inlineStr">
        <is>
          <t>N</t>
        </is>
      </c>
      <c r="J141" s="8" t="inlineStr">
        <is>
          <t>—</t>
        </is>
      </c>
      <c r="K141" s="8" t="inlineStr">
        <is>
          <t>TBD-08 원문 미확정</t>
        </is>
      </c>
    </row>
    <row r="142" s="35">
      <c r="A142" s="24" t="inlineStr">
        <is>
          <t>REQ-CO-012</t>
        </is>
      </c>
      <c r="B142" s="24" t="inlineStr">
        <is>
          <t>SCR-CO-001</t>
        </is>
      </c>
      <c r="C142" s="24" t="inlineStr">
        <is>
          <t>사용자·역할</t>
        </is>
      </c>
      <c r="D142" s="24" t="inlineStr">
        <is>
          <t>범위 라벨</t>
        </is>
      </c>
      <c r="E142" s="24" t="inlineStr">
        <is>
          <t>string</t>
        </is>
      </c>
      <c r="F142" s="24" t="inlineStr">
        <is>
          <t>—</t>
        </is>
      </c>
      <c r="G142" s="24" t="inlineStr">
        <is>
          <t>—</t>
        </is>
      </c>
      <c r="H142" s="24" t="inlineStr">
        <is>
          <t>[회의 2026-08-20] 전 사업장 / 관할 시·군·구 / 자사 1개소</t>
        </is>
      </c>
      <c r="I142" s="8" t="inlineStr">
        <is>
          <t>Y</t>
        </is>
      </c>
      <c r="J142" s="8" t="inlineStr">
        <is>
          <t>역할 전환 설명</t>
        </is>
      </c>
      <c r="K142" s="8" t="inlineStr"/>
    </row>
    <row r="143" s="35">
      <c r="A143" s="24" t="inlineStr">
        <is>
          <t>REQ-CO-012</t>
        </is>
      </c>
      <c r="B143" s="24" t="inlineStr">
        <is>
          <t>전 화면</t>
        </is>
      </c>
      <c r="C143" s="24" t="inlineStr">
        <is>
          <t>사업장 계정</t>
        </is>
      </c>
      <c r="D143" s="24" t="inlineStr">
        <is>
          <t>계정 키</t>
        </is>
      </c>
      <c r="E143" s="24" t="inlineStr">
        <is>
          <t>admin-1|admin-2</t>
        </is>
      </c>
      <c r="F143" s="24" t="inlineStr">
        <is>
          <t>—</t>
        </is>
      </c>
      <c r="G143" s="24" t="inlineStr">
        <is>
          <t>—</t>
        </is>
      </c>
      <c r="H143" s="24" t="inlineStr">
        <is>
          <t>[설계: 계정↔사업장 매핑이 원문에 없다(TBD-08). 범위 규칙 자체는 회의가 정했으므로 매핑만 시연값으로 채운다]</t>
        </is>
      </c>
      <c r="I143" s="8" t="inlineStr">
        <is>
          <t>N</t>
        </is>
      </c>
      <c r="J143" s="8" t="inlineStr">
        <is>
          <t>—</t>
        </is>
      </c>
      <c r="K143" s="8" t="inlineStr">
        <is>
          <t>TBD-08 원문 미확정</t>
        </is>
      </c>
    </row>
    <row r="144" s="35">
      <c r="A144" s="24" t="inlineStr">
        <is>
          <t>REQ-CO-012</t>
        </is>
      </c>
      <c r="B144" s="24" t="inlineStr">
        <is>
          <t>전 화면</t>
        </is>
      </c>
      <c r="C144" s="24" t="inlineStr">
        <is>
          <t>사업장 계정</t>
        </is>
      </c>
      <c r="D144" s="24" t="inlineStr">
        <is>
          <t>계정 라벨</t>
        </is>
      </c>
      <c r="E144" s="24" t="inlineStr">
        <is>
          <t>string</t>
        </is>
      </c>
      <c r="F144" s="24" t="inlineStr">
        <is>
          <t>—</t>
        </is>
      </c>
      <c r="G144" s="24" t="inlineStr">
        <is>
          <t>—</t>
        </is>
      </c>
      <c r="H144" s="24" t="inlineStr">
        <is>
          <t>[설계] 사업장1 · 사업장2</t>
        </is>
      </c>
      <c r="I144" s="8" t="inlineStr">
        <is>
          <t>Y</t>
        </is>
      </c>
      <c r="J144" s="8" t="inlineStr">
        <is>
          <t>—</t>
        </is>
      </c>
      <c r="K144" s="8" t="inlineStr"/>
    </row>
    <row r="145" s="35">
      <c r="A145" s="24" t="inlineStr">
        <is>
          <t>REQ-CO-012</t>
        </is>
      </c>
      <c r="B145" s="24" t="inlineStr">
        <is>
          <t>전 화면</t>
        </is>
      </c>
      <c r="C145" s="24" t="inlineStr">
        <is>
          <t>사업장 계정</t>
        </is>
      </c>
      <c r="D145" s="24" t="inlineStr">
        <is>
          <t>소속 사업장</t>
        </is>
      </c>
      <c r="E145" s="24" t="inlineStr">
        <is>
          <t>string</t>
        </is>
      </c>
      <c r="F145" s="24" t="inlineStr">
        <is>
          <t>—</t>
        </is>
      </c>
      <c r="G145" s="24" t="inlineStr">
        <is>
          <t>—</t>
        </is>
      </c>
      <c r="H145" s="24" t="inlineStr">
        <is>
          <t>[TBD-08] 사업장 단위 데이터 접근 범위 · 시연값은 상태 대비로 골랐다</t>
        </is>
      </c>
      <c r="I145" s="8" t="inlineStr">
        <is>
          <t>Y</t>
        </is>
      </c>
      <c r="J145" s="8" t="inlineStr">
        <is>
          <t>—</t>
        </is>
      </c>
      <c r="K145" s="8" t="inlineStr">
        <is>
          <t>TBD-08 원문 미확정</t>
        </is>
      </c>
    </row>
    <row r="146" s="35">
      <c r="A146" s="24" t="inlineStr">
        <is>
          <t>—</t>
        </is>
      </c>
      <c r="B146" s="24" t="inlineStr">
        <is>
          <t>SCR-AD-002</t>
        </is>
      </c>
      <c r="C146" s="24" t="inlineStr">
        <is>
          <t>공정</t>
        </is>
      </c>
      <c r="D146" s="24" t="inlineStr">
        <is>
          <t>단계 ID</t>
        </is>
      </c>
      <c r="E146" s="24" t="inlineStr">
        <is>
          <t>string</t>
        </is>
      </c>
      <c r="F146" s="24" t="inlineStr">
        <is>
          <t>—</t>
        </is>
      </c>
      <c r="G146" s="24" t="inlineStr">
        <is>
          <t>—</t>
        </is>
      </c>
      <c r="H146" s="24" t="inlineStr">
        <is>
          <t>[설계] URL 쿼리 ?stage=에 실린다</t>
        </is>
      </c>
      <c r="I146" s="8" t="inlineStr">
        <is>
          <t>N</t>
        </is>
      </c>
      <c r="J146" s="8" t="inlineStr">
        <is>
          <t>—</t>
        </is>
      </c>
      <c r="K146" s="8" t="inlineStr"/>
    </row>
    <row r="147" s="35">
      <c r="A147" s="24" t="inlineStr">
        <is>
          <t>—</t>
        </is>
      </c>
      <c r="B147" s="24" t="inlineStr">
        <is>
          <t>SCR-AD-002</t>
        </is>
      </c>
      <c r="C147" s="24" t="inlineStr">
        <is>
          <t>공정</t>
        </is>
      </c>
      <c r="D147" s="24" t="inlineStr">
        <is>
          <t>단계 순번·이름</t>
        </is>
      </c>
      <c r="E147" s="24" t="inlineStr">
        <is>
          <t>number · string</t>
        </is>
      </c>
      <c r="F147" s="24" t="inlineStr">
        <is>
          <t>—</t>
        </is>
      </c>
      <c r="G147" s="24" t="inlineStr">
        <is>
          <t>—</t>
        </is>
      </c>
      <c r="H147" s="24" t="inlineStr">
        <is>
          <t>[설계] 표준 6단계 — 사용자 제공 자료</t>
        </is>
      </c>
      <c r="I147" s="8" t="inlineStr">
        <is>
          <t>Y</t>
        </is>
      </c>
      <c r="J147" s="8" t="inlineStr">
        <is>
          <t>—</t>
        </is>
      </c>
      <c r="K147" s="8" t="inlineStr"/>
    </row>
    <row r="148" s="35">
      <c r="A148" s="24" t="inlineStr">
        <is>
          <t>—</t>
        </is>
      </c>
      <c r="B148" s="24" t="inlineStr">
        <is>
          <t>SCR-AD-002</t>
        </is>
      </c>
      <c r="C148" s="24" t="inlineStr">
        <is>
          <t>공정</t>
        </is>
      </c>
      <c r="D148" s="24" t="inlineStr">
        <is>
          <t>처리 유형</t>
        </is>
      </c>
      <c r="E148" s="24" t="inlineStr">
        <is>
          <t>physical|biological|chemical|monitoring</t>
        </is>
      </c>
      <c r="F148" s="24" t="inlineStr">
        <is>
          <t>—</t>
        </is>
      </c>
      <c r="G148" s="24" t="inlineStr">
        <is>
          <t>—</t>
        </is>
      </c>
      <c r="H148" s="24" t="inlineStr">
        <is>
          <t>[공정자료 p.6] 화학·생물 결합 구조</t>
        </is>
      </c>
      <c r="I148" s="8" t="inlineStr">
        <is>
          <t>Y</t>
        </is>
      </c>
      <c r="J148" s="8" t="inlineStr">
        <is>
          <t>—</t>
        </is>
      </c>
      <c r="K148" s="8" t="inlineStr"/>
    </row>
    <row r="149" s="35">
      <c r="A149" s="24" t="inlineStr">
        <is>
          <t>—</t>
        </is>
      </c>
      <c r="B149" s="24" t="inlineStr">
        <is>
          <t>SCR-AD-002</t>
        </is>
      </c>
      <c r="C149" s="24" t="inlineStr">
        <is>
          <t>공정</t>
        </is>
      </c>
      <c r="D149" s="24" t="inlineStr">
        <is>
          <t>하위 조(槽)</t>
        </is>
      </c>
      <c r="E149" s="24" t="inlineStr">
        <is>
          <t>string[]</t>
        </is>
      </c>
      <c r="F149" s="24" t="inlineStr">
        <is>
          <t>—</t>
        </is>
      </c>
      <c r="G149" s="24" t="inlineStr">
        <is>
          <t>—</t>
        </is>
      </c>
      <c r="H149" s="24" t="inlineStr">
        <is>
          <t>[공정자료 p.4] + [설계] 집수조·유량조정조</t>
        </is>
      </c>
      <c r="I149" s="8" t="inlineStr">
        <is>
          <t>Y</t>
        </is>
      </c>
      <c r="J149" s="8" t="inlineStr">
        <is>
          <t>—</t>
        </is>
      </c>
      <c r="K149" s="8" t="inlineStr"/>
    </row>
    <row r="150" s="35">
      <c r="A150" s="24" t="inlineStr">
        <is>
          <t>—</t>
        </is>
      </c>
      <c r="B150" s="24" t="inlineStr">
        <is>
          <t>SCR-AD-002</t>
        </is>
      </c>
      <c r="C150" s="24" t="inlineStr">
        <is>
          <t>공정</t>
        </is>
      </c>
      <c r="D150" s="24" t="inlineStr">
        <is>
          <t>계측 등급</t>
        </is>
      </c>
      <c r="E150" s="24" t="inlineStr">
        <is>
          <t>actual|estimated|none</t>
        </is>
      </c>
      <c r="F150" s="24" t="inlineStr">
        <is>
          <t>—</t>
        </is>
      </c>
      <c r="G150" s="24" t="inlineStr">
        <is>
          <t>—</t>
        </is>
      </c>
      <c r="H150" s="24" t="inlineStr">
        <is>
          <t>[PROVISIONAL] 원문에 등급 개념 없음</t>
        </is>
      </c>
      <c r="I150" s="8" t="inlineStr">
        <is>
          <t>Y</t>
        </is>
      </c>
      <c r="J150" s="8" t="inlineStr">
        <is>
          <t>—</t>
        </is>
      </c>
      <c r="K150" s="8" t="inlineStr">
        <is>
          <t>임시값 — 확정 시 src/shared/config/provisional.ts 한 파일을 교체한다</t>
        </is>
      </c>
    </row>
    <row r="151" s="35">
      <c r="A151" s="24" t="inlineStr">
        <is>
          <t>—</t>
        </is>
      </c>
      <c r="B151" s="24" t="inlineStr">
        <is>
          <t>SCR-AD-002</t>
        </is>
      </c>
      <c r="C151" s="24" t="inlineStr">
        <is>
          <t>공정</t>
        </is>
      </c>
      <c r="D151" s="24" t="inlineStr">
        <is>
          <t>계측 설명</t>
        </is>
      </c>
      <c r="E151" s="24" t="inlineStr">
        <is>
          <t>string</t>
        </is>
      </c>
      <c r="F151" s="24" t="inlineStr">
        <is>
          <t>—</t>
        </is>
      </c>
      <c r="G151" s="24" t="inlineStr">
        <is>
          <t>—</t>
        </is>
      </c>
      <c r="H151" s="24" t="inlineStr">
        <is>
          <t>[설계] 계측이 없으면 왜 없는지를 적는다</t>
        </is>
      </c>
      <c r="I151" s="8" t="inlineStr">
        <is>
          <t>Y</t>
        </is>
      </c>
      <c r="J151" s="8" t="inlineStr">
        <is>
          <t>—</t>
        </is>
      </c>
      <c r="K151" s="8" t="inlineStr"/>
    </row>
    <row r="152" s="35">
      <c r="A152" s="24" t="inlineStr">
        <is>
          <t>—</t>
        </is>
      </c>
      <c r="B152" s="24" t="inlineStr">
        <is>
          <t>SCR-AD-002</t>
        </is>
      </c>
      <c r="C152" s="24" t="inlineStr">
        <is>
          <t>공정</t>
        </is>
      </c>
      <c r="D152" s="24" t="inlineStr">
        <is>
          <t>배치 설비 ID</t>
        </is>
      </c>
      <c r="E152" s="24" t="inlineStr">
        <is>
          <t>string[]</t>
        </is>
      </c>
      <c r="F152" s="24" t="inlineStr">
        <is>
          <t>—</t>
        </is>
      </c>
      <c r="G152" s="24" t="inlineStr">
        <is>
          <t>—</t>
        </is>
      </c>
      <c r="H152" s="24" t="inlineStr">
        <is>
          <t>[설계] 설비 4대 — 개수는 시연값</t>
        </is>
      </c>
      <c r="I152" s="8" t="inlineStr">
        <is>
          <t>Y</t>
        </is>
      </c>
      <c r="J152" s="8" t="inlineStr">
        <is>
          <t>—</t>
        </is>
      </c>
      <c r="K152" s="8" t="inlineStr"/>
    </row>
    <row r="153" s="35">
      <c r="A153" s="24" t="inlineStr">
        <is>
          <t>REQ-AD-003</t>
        </is>
      </c>
      <c r="B153" s="24" t="inlineStr">
        <is>
          <t>SCR-AD-002</t>
        </is>
      </c>
      <c r="C153" s="24" t="inlineStr">
        <is>
          <t>공정</t>
        </is>
      </c>
      <c r="D153" s="24" t="inlineStr">
        <is>
          <t>가동 여부</t>
        </is>
      </c>
      <c r="E153" s="24" t="inlineStr">
        <is>
          <t>boolean</t>
        </is>
      </c>
      <c r="F153" s="24" t="inlineStr">
        <is>
          <t>—</t>
        </is>
      </c>
      <c r="G153" s="24" t="inlineStr">
        <is>
          <t>[파생: 전류·전력 채널 시간별 0/1]</t>
        </is>
      </c>
      <c r="H153" s="24" t="inlineStr">
        <is>
          <t>[데이터셋 docs/datasets/Non_TMS_sites/04_사업장_유량,전력,전류 가동시간]</t>
        </is>
      </c>
      <c r="I153" s="8" t="inlineStr">
        <is>
          <t>Y</t>
        </is>
      </c>
      <c r="J153" s="8" t="inlineStr">
        <is>
          <t>—</t>
        </is>
      </c>
      <c r="K153" s="8" t="inlineStr"/>
    </row>
    <row r="154" s="35">
      <c r="A154" s="24" t="inlineStr">
        <is>
          <t>REQ-AD-003</t>
        </is>
      </c>
      <c r="B154" s="24" t="inlineStr">
        <is>
          <t>SCR-AD-002</t>
        </is>
      </c>
      <c r="C154" s="24" t="inlineStr">
        <is>
          <t>공정</t>
        </is>
      </c>
      <c r="D154" s="24" t="inlineStr">
        <is>
          <t>방류 여부</t>
        </is>
      </c>
      <c r="E154" s="24" t="inlineStr">
        <is>
          <t>boolean</t>
        </is>
      </c>
      <c r="F154" s="24" t="inlineStr">
        <is>
          <t>—</t>
        </is>
      </c>
      <c r="G154" s="24" t="inlineStr">
        <is>
          <t>[파생: 유량 채널 시간별 0/1]</t>
        </is>
      </c>
      <c r="H154" s="24" t="inlineStr">
        <is>
          <t>위와 같음 — 진유원 88.3%, 하루 3~24시간 변동</t>
        </is>
      </c>
      <c r="I154" s="8" t="inlineStr">
        <is>
          <t>Y</t>
        </is>
      </c>
      <c r="J154" s="8" t="inlineStr">
        <is>
          <t>—</t>
        </is>
      </c>
      <c r="K154" s="8" t="inlineStr"/>
    </row>
    <row r="155" s="35">
      <c r="A155" s="24" t="inlineStr">
        <is>
          <t>—</t>
        </is>
      </c>
      <c r="B155" s="24" t="inlineStr">
        <is>
          <t>SCR-AD-002</t>
        </is>
      </c>
      <c r="C155" s="24" t="inlineStr">
        <is>
          <t>공정</t>
        </is>
      </c>
      <c r="D155" s="24" t="inlineStr">
        <is>
          <t>방류 중단 시간</t>
        </is>
      </c>
      <c r="E155" s="24" t="inlineStr">
        <is>
          <t>number | null</t>
        </is>
      </c>
      <c r="F155" s="24" t="inlineStr">
        <is>
          <t>—</t>
        </is>
      </c>
      <c r="G155" s="24" t="inlineStr">
        <is>
          <t>[파생: 유량 채널이 0인 연속 시간]</t>
        </is>
      </c>
      <c r="H155" s="24" t="inlineStr">
        <is>
          <t>위와 같음 · 방류 중이면 null</t>
        </is>
      </c>
      <c r="I155" s="8" t="inlineStr">
        <is>
          <t>Y</t>
        </is>
      </c>
      <c r="J155" s="8" t="inlineStr">
        <is>
          <t>—</t>
        </is>
      </c>
      <c r="K155" s="8" t="inlineStr"/>
    </row>
    <row r="156" s="35">
      <c r="A156" s="24" t="inlineStr">
        <is>
          <t>—</t>
        </is>
      </c>
      <c r="B156" s="24" t="inlineStr">
        <is>
          <t>SCR-AD-002</t>
        </is>
      </c>
      <c r="C156" s="24" t="inlineStr">
        <is>
          <t>공정</t>
        </is>
      </c>
      <c r="D156" s="24" t="inlineStr">
        <is>
          <t>운영 분류</t>
        </is>
      </c>
      <c r="E156" s="24" t="inlineStr">
        <is>
          <t>string</t>
        </is>
      </c>
      <c r="F156" s="24" t="inlineStr">
        <is>
          <t>—</t>
        </is>
      </c>
      <c r="G156" s="24" t="inlineStr">
        <is>
          <t>—</t>
        </is>
      </c>
      <c r="H156" s="24" t="inlineStr">
        <is>
          <t>위와 같음 가동배출 = 상시가동 간헐방류</t>
        </is>
      </c>
      <c r="I156" s="8" t="inlineStr">
        <is>
          <t>Y</t>
        </is>
      </c>
      <c r="J156" s="8" t="inlineStr">
        <is>
          <t>—</t>
        </is>
      </c>
      <c r="K156" s="8" t="inlineStr"/>
    </row>
    <row r="157" s="35">
      <c r="A157" s="24" t="inlineStr">
        <is>
          <t>REQ-AD-003</t>
        </is>
      </c>
      <c r="B157" s="24" t="inlineStr">
        <is>
          <t>SCR-OP-008</t>
        </is>
      </c>
      <c r="C157" s="24" t="inlineStr">
        <is>
          <t>공정</t>
        </is>
      </c>
      <c r="D157" s="24" t="inlineStr">
        <is>
          <t>방류 시간</t>
        </is>
      </c>
      <c r="E157" s="24" t="inlineStr">
        <is>
          <t>number | null</t>
        </is>
      </c>
      <c r="F157" s="24" t="inlineStr">
        <is>
          <t>—</t>
        </is>
      </c>
      <c r="G157" s="24" t="inlineStr">
        <is>
          <t>[파생: 방류 확인 표본 ÷ 시간당 표본]</t>
        </is>
      </c>
      <c r="H157" s="24" t="inlineStr">
        <is>
          <t>위와 같음 · null = 통신 두절로 모름</t>
        </is>
      </c>
      <c r="I157" s="8" t="inlineStr">
        <is>
          <t>Y</t>
        </is>
      </c>
      <c r="J157" s="8" t="inlineStr">
        <is>
          <t>—</t>
        </is>
      </c>
      <c r="K157" s="8" t="inlineStr"/>
    </row>
    <row r="158" s="35">
      <c r="A158" s="24" t="inlineStr">
        <is>
          <t>REQ-AD-024</t>
        </is>
      </c>
      <c r="B158" s="24" t="inlineStr">
        <is>
          <t>SCR-OP-007</t>
        </is>
      </c>
      <c r="C158" s="24" t="inlineStr">
        <is>
          <t>공정</t>
        </is>
      </c>
      <c r="D158" s="24" t="inlineStr">
        <is>
          <t>비방류 중 발생</t>
        </is>
      </c>
      <c r="E158" s="24" t="inlineStr">
        <is>
          <t>boolean</t>
        </is>
      </c>
      <c r="F158" s="24" t="inlineStr">
        <is>
          <t>—</t>
        </is>
      </c>
      <c r="G158" s="24" t="inlineStr">
        <is>
          <t>[파생: 발생 시각 → 방류 여부]</t>
        </is>
      </c>
      <c r="H158" s="24" t="inlineStr">
        <is>
          <t>위와 같음 · 수질 계열 알람 2종에만</t>
        </is>
      </c>
      <c r="I158" s="8" t="inlineStr">
        <is>
          <t>Y</t>
        </is>
      </c>
      <c r="J158" s="8" t="inlineStr">
        <is>
          <t>—</t>
        </is>
      </c>
      <c r="K158" s="8" t="inlineStr"/>
    </row>
    <row r="159" s="35">
      <c r="A159" s="24" t="inlineStr">
        <is>
          <t>REQ-AD-004</t>
        </is>
      </c>
      <c r="B159" s="24" t="inlineStr">
        <is>
          <t>SCR-AD-003</t>
        </is>
      </c>
      <c r="C159" s="24" t="inlineStr">
        <is>
          <t>공정</t>
        </is>
      </c>
      <c r="D159" s="24" t="inlineStr">
        <is>
          <t>가동 여부(표본별)</t>
        </is>
      </c>
      <c r="E159" s="24" t="inlineStr">
        <is>
          <t>boolean | null</t>
        </is>
      </c>
      <c r="F159" s="24" t="inlineStr">
        <is>
          <t>—</t>
        </is>
      </c>
      <c r="G159" s="24" t="inlineStr">
        <is>
          <t>[파생: current &gt; 0]</t>
        </is>
      </c>
      <c r="H159" s="24" t="inlineStr">
        <is>
          <t>위와 같음 전류계위치 = 유입펌프</t>
        </is>
      </c>
      <c r="I159" s="8" t="inlineStr">
        <is>
          <t>Y</t>
        </is>
      </c>
      <c r="J159" s="8" t="inlineStr">
        <is>
          <t>—</t>
        </is>
      </c>
      <c r="K159" s="8" t="inlineStr"/>
    </row>
    <row r="160" s="35">
      <c r="A160" s="24" t="inlineStr">
        <is>
          <t>REQ-AD-004</t>
        </is>
      </c>
      <c r="B160" s="24" t="inlineStr">
        <is>
          <t>SCR-AD-003</t>
        </is>
      </c>
      <c r="C160" s="24" t="inlineStr">
        <is>
          <t>공정</t>
        </is>
      </c>
      <c r="D160" s="24" t="inlineStr">
        <is>
          <t>방류 여부(표본별)</t>
        </is>
      </c>
      <c r="E160" s="24" t="inlineStr">
        <is>
          <t>boolean | null</t>
        </is>
      </c>
      <c r="F160" s="24" t="inlineStr">
        <is>
          <t>—</t>
        </is>
      </c>
      <c r="G160" s="24" t="inlineStr">
        <is>
          <t>[파생: isDischargingAt]</t>
        </is>
      </c>
      <c r="H160" s="24" t="inlineStr">
        <is>
          <t>위와 같음</t>
        </is>
      </c>
      <c r="I160" s="8" t="inlineStr">
        <is>
          <t>Y</t>
        </is>
      </c>
      <c r="J160" s="8" t="inlineStr">
        <is>
          <t>—</t>
        </is>
      </c>
      <c r="K160" s="8" t="inlineStr"/>
    </row>
    <row r="161" s="35">
      <c r="A161" s="24" t="inlineStr">
        <is>
          <t>REQ-AD-004</t>
        </is>
      </c>
      <c r="B161" s="24" t="inlineStr">
        <is>
          <t>SCR-AD-003</t>
        </is>
      </c>
      <c r="C161" s="24" t="inlineStr">
        <is>
          <t>공정</t>
        </is>
      </c>
      <c r="D161" s="24" t="inlineStr">
        <is>
          <t>결측 여부(표본별)</t>
        </is>
      </c>
      <c r="E161" s="24" t="inlineStr">
        <is>
          <t>boolean</t>
        </is>
      </c>
      <c r="F161" s="24" t="inlineStr">
        <is>
          <t>—</t>
        </is>
      </c>
      <c r="G161" s="24" t="inlineStr">
        <is>
          <t>[파생: isMissingAt]</t>
        </is>
      </c>
      <c r="H161" s="24" t="inlineStr">
        <is>
          <t>[설계] 리본 수신 행</t>
        </is>
      </c>
      <c r="I161" s="8" t="inlineStr">
        <is>
          <t>Y</t>
        </is>
      </c>
      <c r="J161" s="8" t="inlineStr">
        <is>
          <t>—</t>
        </is>
      </c>
      <c r="K161" s="8" t="inlineStr"/>
    </row>
    <row r="162" s="35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8" t="n"/>
      <c r="J162" s="8" t="n"/>
      <c r="K162" s="8" t="inlineStr"/>
    </row>
    <row r="163" s="35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8" t="n"/>
      <c r="J163" s="8" t="n"/>
      <c r="K163" s="8" t="inlineStr"/>
    </row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2026-08-20T05:07:25Z</dcterms:created>
  <dcterms:modified xmlns:dcterms="http://purl.org/dc/terms/" xmlns:xsi="http://www.w3.org/2001/XMLSchema-instance" xsi:type="dcterms:W3CDTF">2026-08-24T03:49:22Z</dcterms:modified>
</cp:coreProperties>
</file>